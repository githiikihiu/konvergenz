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7426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heila\Documents\Quotes\Agriculture and Food Authority (AFA)\"/>
    </mc:Choice>
  </mc:AlternateContent>
  <bookViews>
    <workbookView xWindow="930" yWindow="0" windowWidth="18270" windowHeight="75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22" i="1" l="1"/>
  <c r="H122" i="1"/>
  <c r="H121" i="1"/>
  <c r="J121" i="1" s="1"/>
  <c r="J120" i="1"/>
  <c r="H120" i="1"/>
  <c r="H119" i="1"/>
  <c r="J119" i="1" s="1"/>
  <c r="J118" i="1"/>
  <c r="H118" i="1"/>
  <c r="H117" i="1"/>
  <c r="J117" i="1" s="1"/>
  <c r="J116" i="1"/>
  <c r="H116" i="1"/>
  <c r="H115" i="1"/>
  <c r="J115" i="1" s="1"/>
  <c r="J114" i="1"/>
  <c r="H114" i="1"/>
  <c r="H113" i="1"/>
  <c r="J113" i="1" s="1"/>
  <c r="J112" i="1"/>
  <c r="H112" i="1"/>
  <c r="H111" i="1"/>
  <c r="J111" i="1" s="1"/>
  <c r="J110" i="1"/>
  <c r="H110" i="1"/>
  <c r="H109" i="1"/>
  <c r="J109" i="1" s="1"/>
  <c r="J108" i="1"/>
  <c r="H108" i="1"/>
  <c r="H107" i="1"/>
  <c r="J107" i="1" s="1"/>
  <c r="J106" i="1"/>
  <c r="H106" i="1"/>
  <c r="H105" i="1"/>
  <c r="J105" i="1" s="1"/>
  <c r="J104" i="1"/>
  <c r="H104" i="1"/>
  <c r="H103" i="1"/>
  <c r="J103" i="1" s="1"/>
  <c r="J102" i="1"/>
  <c r="H102" i="1"/>
  <c r="H101" i="1"/>
  <c r="J101" i="1" s="1"/>
  <c r="J100" i="1"/>
  <c r="H100" i="1"/>
  <c r="H99" i="1"/>
  <c r="J99" i="1" s="1"/>
  <c r="J98" i="1"/>
  <c r="H98" i="1"/>
  <c r="H97" i="1"/>
  <c r="J97" i="1" s="1"/>
  <c r="J96" i="1"/>
  <c r="H96" i="1"/>
  <c r="H95" i="1"/>
  <c r="J95" i="1" s="1"/>
  <c r="J94" i="1"/>
  <c r="H94" i="1"/>
  <c r="H93" i="1"/>
  <c r="J93" i="1" s="1"/>
  <c r="J92" i="1"/>
  <c r="H92" i="1"/>
  <c r="H91" i="1"/>
  <c r="J91" i="1" s="1"/>
  <c r="J90" i="1"/>
  <c r="H90" i="1"/>
  <c r="H89" i="1"/>
  <c r="J89" i="1" s="1"/>
  <c r="J88" i="1"/>
  <c r="H88" i="1"/>
  <c r="H87" i="1"/>
  <c r="J87" i="1" s="1"/>
  <c r="J86" i="1"/>
  <c r="H86" i="1"/>
  <c r="H85" i="1"/>
  <c r="J85" i="1" s="1"/>
  <c r="J84" i="1"/>
  <c r="H84" i="1"/>
  <c r="H83" i="1"/>
  <c r="J83" i="1" s="1"/>
  <c r="J82" i="1"/>
  <c r="H82" i="1"/>
  <c r="H81" i="1"/>
  <c r="J81" i="1" s="1"/>
  <c r="J80" i="1"/>
  <c r="H80" i="1"/>
  <c r="H79" i="1"/>
  <c r="J79" i="1" s="1"/>
  <c r="J78" i="1"/>
  <c r="H78" i="1"/>
  <c r="H77" i="1"/>
  <c r="J77" i="1" s="1"/>
  <c r="J76" i="1"/>
  <c r="H76" i="1"/>
  <c r="H75" i="1"/>
  <c r="J75" i="1" s="1"/>
  <c r="J74" i="1"/>
  <c r="H74" i="1"/>
  <c r="H73" i="1"/>
  <c r="J73" i="1" s="1"/>
  <c r="J72" i="1"/>
  <c r="H72" i="1"/>
  <c r="H71" i="1"/>
  <c r="J71" i="1" s="1"/>
  <c r="J70" i="1"/>
  <c r="H70" i="1"/>
  <c r="H69" i="1"/>
  <c r="J69" i="1" s="1"/>
  <c r="J68" i="1"/>
  <c r="H68" i="1"/>
  <c r="H67" i="1"/>
  <c r="J67" i="1" s="1"/>
  <c r="J66" i="1"/>
  <c r="H66" i="1"/>
  <c r="H65" i="1"/>
  <c r="J65" i="1" s="1"/>
  <c r="J64" i="1"/>
  <c r="H64" i="1"/>
  <c r="H63" i="1"/>
  <c r="J63" i="1" s="1"/>
  <c r="J62" i="1"/>
  <c r="H62" i="1"/>
  <c r="H61" i="1"/>
  <c r="J61" i="1" s="1"/>
  <c r="J60" i="1"/>
  <c r="H60" i="1"/>
  <c r="H59" i="1"/>
  <c r="J59" i="1" s="1"/>
  <c r="J58" i="1"/>
  <c r="H58" i="1"/>
  <c r="H57" i="1"/>
  <c r="J57" i="1" s="1"/>
  <c r="J56" i="1"/>
  <c r="H56" i="1"/>
  <c r="H55" i="1"/>
  <c r="J55" i="1" s="1"/>
  <c r="J54" i="1"/>
  <c r="H54" i="1"/>
  <c r="H53" i="1"/>
  <c r="J53" i="1" s="1"/>
  <c r="J52" i="1"/>
  <c r="H52" i="1"/>
  <c r="H51" i="1"/>
  <c r="J51" i="1" s="1"/>
  <c r="J50" i="1"/>
  <c r="H50" i="1"/>
  <c r="H49" i="1"/>
  <c r="J49" i="1" s="1"/>
  <c r="J48" i="1"/>
  <c r="H48" i="1"/>
  <c r="H47" i="1"/>
  <c r="J47" i="1" s="1"/>
  <c r="J46" i="1"/>
  <c r="H46" i="1"/>
  <c r="H45" i="1"/>
  <c r="J45" i="1" s="1"/>
  <c r="J44" i="1"/>
  <c r="H44" i="1"/>
  <c r="H43" i="1"/>
  <c r="J43" i="1" s="1"/>
  <c r="J42" i="1"/>
  <c r="H42" i="1"/>
  <c r="H41" i="1"/>
  <c r="J41" i="1" s="1"/>
  <c r="J40" i="1"/>
  <c r="H40" i="1"/>
  <c r="H39" i="1"/>
  <c r="J39" i="1" s="1"/>
  <c r="J38" i="1"/>
  <c r="H38" i="1"/>
  <c r="H37" i="1"/>
  <c r="J37" i="1" s="1"/>
  <c r="J36" i="1"/>
  <c r="H36" i="1"/>
  <c r="H35" i="1"/>
  <c r="J35" i="1" s="1"/>
  <c r="J34" i="1"/>
  <c r="H34" i="1"/>
  <c r="H33" i="1"/>
  <c r="J33" i="1" s="1"/>
  <c r="J32" i="1"/>
  <c r="H32" i="1"/>
  <c r="H31" i="1"/>
  <c r="J31" i="1" s="1"/>
  <c r="J30" i="1"/>
  <c r="H30" i="1"/>
  <c r="H29" i="1"/>
  <c r="J29" i="1" s="1"/>
  <c r="J28" i="1"/>
  <c r="H28" i="1"/>
  <c r="H27" i="1"/>
  <c r="J27" i="1" s="1"/>
  <c r="J26" i="1"/>
  <c r="H26" i="1"/>
  <c r="H25" i="1"/>
  <c r="J25" i="1" s="1"/>
  <c r="J24" i="1"/>
  <c r="H24" i="1"/>
  <c r="H23" i="1"/>
  <c r="J23" i="1" s="1"/>
  <c r="J22" i="1"/>
  <c r="H22" i="1"/>
  <c r="H21" i="1"/>
  <c r="J21" i="1" s="1"/>
  <c r="J20" i="1"/>
  <c r="H20" i="1"/>
  <c r="J125" i="1" l="1"/>
  <c r="J129" i="1" s="1"/>
  <c r="J126" i="1"/>
</calcChain>
</file>

<file path=xl/sharedStrings.xml><?xml version="1.0" encoding="utf-8"?>
<sst xmlns="http://schemas.openxmlformats.org/spreadsheetml/2006/main" count="362" uniqueCount="248">
  <si>
    <t xml:space="preserve">QUOTATION </t>
  </si>
  <si>
    <t>dogana@interdistalliances.com</t>
  </si>
  <si>
    <t>BLOCK 3, DELTA RIVERSIDE, RIVERSIDE DRIVE, NAIROBI,</t>
  </si>
  <si>
    <t>NAIROBA,00100</t>
  </si>
  <si>
    <t>KENYA</t>
  </si>
  <si>
    <t>Ph no:+254 254 722748439</t>
  </si>
  <si>
    <t>INTERDIST ALLIANCES KENYA</t>
  </si>
  <si>
    <t>All prices are shown in USD</t>
  </si>
  <si>
    <t>Line Number</t>
  </si>
  <si>
    <t>Part Number</t>
  </si>
  <si>
    <t>Description</t>
  </si>
  <si>
    <t>Service Duration (Months)</t>
  </si>
  <si>
    <t>Lead Time</t>
  </si>
  <si>
    <t>Unit List Price</t>
  </si>
  <si>
    <t>Qty</t>
  </si>
  <si>
    <t>Unit Net Price</t>
  </si>
  <si>
    <t>Disc(%)</t>
  </si>
  <si>
    <t>Extended Net Price</t>
  </si>
  <si>
    <t>BE6M-M4-K9=</t>
  </si>
  <si>
    <t>Cisco Business Edition 6000M Svr (M4), Export Restricted SW</t>
  </si>
  <si>
    <t>---</t>
  </si>
  <si>
    <t>1.0.1</t>
  </si>
  <si>
    <t>CON-SNT-BE6M4M4K</t>
  </si>
  <si>
    <t>SNTC-8X5XNBD Cisco Business Edition 6000M Svr (M4), E</t>
  </si>
  <si>
    <t>N/A</t>
  </si>
  <si>
    <t>CAB-9K10A-UK</t>
  </si>
  <si>
    <t>Power Cord, 250VAC 10A BS1363 Plug (13 A fuse), UK</t>
  </si>
  <si>
    <t>BE6K-SW-10X11X-K9</t>
  </si>
  <si>
    <t>Cisco Business Edition 6000 - Software App Version 10.X 11.X</t>
  </si>
  <si>
    <t>VMW-VS6-HYPPLS-K9</t>
  </si>
  <si>
    <t>Embedded License, Cisco UC Virt. Hypervisor Plus 6.x (2-cpu)</t>
  </si>
  <si>
    <t>CIT-PSU1-770W</t>
  </si>
  <si>
    <t>770W AC Hot-Plug Power Supply for 1U C-Series Rack Server</t>
  </si>
  <si>
    <t>CIT-CPU-E52630D</t>
  </si>
  <si>
    <t>2.40 GHz E5-2630 v3/85W 8C/20MB Cache/DDR4 1866MHz</t>
  </si>
  <si>
    <t>CIT-HD300G10K12G</t>
  </si>
  <si>
    <t>300GB 12G SAS 10K RPM SFF HDD</t>
  </si>
  <si>
    <t>R2XX-RAID5</t>
  </si>
  <si>
    <t>Enable RAID 5 Setting</t>
  </si>
  <si>
    <t>CIT-MR-1X162RU-A</t>
  </si>
  <si>
    <t>16GB DDR4-2133-MHz RDIMM/PC4-17000/dual rank/x4/1.2v</t>
  </si>
  <si>
    <t>CIT-MRAID12G</t>
  </si>
  <si>
    <t>Cisco 12G SAS Modular Raid Controller</t>
  </si>
  <si>
    <t>CIT-MRAID12G-1GB</t>
  </si>
  <si>
    <t>Cisco 12Gbps SAS 1GB FBWC Cache module (Raid 0/1/5/6)</t>
  </si>
  <si>
    <t>R-CBE6K-K9</t>
  </si>
  <si>
    <t>Cisco Business Edition 6000-Electronic SW Delivery-Top Level</t>
  </si>
  <si>
    <t>2.0.1</t>
  </si>
  <si>
    <t>CON-ECMU-RCBE6KK</t>
  </si>
  <si>
    <t>SWSS UPGRADES Cisco Business Editi</t>
  </si>
  <si>
    <t>BE6K-SW-11.5</t>
  </si>
  <si>
    <t>Business Edition 6000 v11.5 export restricted software</t>
  </si>
  <si>
    <t>BE6K-START-PRO35</t>
  </si>
  <si>
    <t>BE6000 User License Starter Bundle with 35 UWL Pro Licenses</t>
  </si>
  <si>
    <t>BE6K-UCL-BAS</t>
  </si>
  <si>
    <t>Cisco Business Edition 6000 - Basic User Connect License</t>
  </si>
  <si>
    <t>BE6K-UCL-ENH</t>
  </si>
  <si>
    <t>Cisco Business Edition 6000 - Enhanced User Connect License</t>
  </si>
  <si>
    <t>BE6K-UWL-PRO</t>
  </si>
  <si>
    <t>Cisco Business Edition 6000 - Workspace License Professional</t>
  </si>
  <si>
    <t>FIRST-PRO</t>
  </si>
  <si>
    <t>Select when first ordering or upgrading CUWL Pro licenses</t>
  </si>
  <si>
    <t>JABBER-DESKTOP</t>
  </si>
  <si>
    <t>Jabber for Desktop for PC and Mac</t>
  </si>
  <si>
    <t>UCM-11X-UWLPRO</t>
  </si>
  <si>
    <t>BE6000 UCM v11 CUWL Professional User License</t>
  </si>
  <si>
    <t>2.8.0.1</t>
  </si>
  <si>
    <t>CON-ECMU-UCMW11XU</t>
  </si>
  <si>
    <t>SWSS UPGRADES BE6000 UCM v11 CUWL</t>
  </si>
  <si>
    <t>UCXN-11X-UWLPRO</t>
  </si>
  <si>
    <t>BE6000 Unity Connection v11 CUWL Professional License</t>
  </si>
  <si>
    <t>CCX-11-NEW-STD-UWL</t>
  </si>
  <si>
    <t>CCX 11.x NEW STANDARD for UWL</t>
  </si>
  <si>
    <t>CCX-11-S-SEAT1-UWL</t>
  </si>
  <si>
    <t>CCX 11.x STD Seat Qty 1 (agent or supervisor) for UWL</t>
  </si>
  <si>
    <t>CCX-11-PAK</t>
  </si>
  <si>
    <t>CCX 11 autoexpanded  PAK</t>
  </si>
  <si>
    <t>CCX-11-E-SVR-LIC</t>
  </si>
  <si>
    <t>CCX 11.0 NEW ENH Server License</t>
  </si>
  <si>
    <t>CCX-11-N-E-LIC</t>
  </si>
  <si>
    <t>CCX 11.0 ENH Seat Qty 1 LICENSE ONLY</t>
  </si>
  <si>
    <t>2.14.0.1</t>
  </si>
  <si>
    <t>CON-ECMU-CCX11NIL</t>
  </si>
  <si>
    <t>SWSS UPGRADES CCX 11.0 ENH Seat Qty 1 LICENSE ONLY</t>
  </si>
  <si>
    <t>LIC-AES-VTS-PMP-K9</t>
  </si>
  <si>
    <t>AES and HTTPS option for VTS</t>
  </si>
  <si>
    <t>LIC-VTS-PMP-K9</t>
  </si>
  <si>
    <t>Cisco VM TelePresence Server Release Key</t>
  </si>
  <si>
    <t>SME-11-UWL</t>
  </si>
  <si>
    <t>Session Manager 11.0 Auto-expanding user for licensing</t>
  </si>
  <si>
    <t>UCXN-11X-SCPORTS</t>
  </si>
  <si>
    <t>BE6K - Unity Connection 11x - VM Speech Connect Ports</t>
  </si>
  <si>
    <t>UCM-11X-ENH-UCL</t>
  </si>
  <si>
    <t>BE6K UCM 11X Enhanced User Connect Lic - Single Fulfillment</t>
  </si>
  <si>
    <t>2.19.0.1</t>
  </si>
  <si>
    <t>CON-ECMU-UCMENHUC</t>
  </si>
  <si>
    <t>SWSS UPGRADES BE6K UCM 10X Enhance</t>
  </si>
  <si>
    <t>LIC-CNDR-PMP-C2400</t>
  </si>
  <si>
    <t>Conductor 2400 call sessions license</t>
  </si>
  <si>
    <t>LIC-CNDTR-PMP-B30</t>
  </si>
  <si>
    <t>Conductor license, support up to 30 bridges</t>
  </si>
  <si>
    <t>LIC-CNDTR-PMP-CL</t>
  </si>
  <si>
    <t>Conductor clustering support</t>
  </si>
  <si>
    <t>UCM-11X-BAS-UCL</t>
  </si>
  <si>
    <t>BE6K UCM 11X Basic User Connect License - Single Fulfillment</t>
  </si>
  <si>
    <t>2.23.0.1</t>
  </si>
  <si>
    <t>CON-ECMU-UCMUCBAS</t>
  </si>
  <si>
    <t>SWSS UPGRADES BE6K UCM 10X Basic U</t>
  </si>
  <si>
    <t>LIC-TP-PMP-USER</t>
  </si>
  <si>
    <t>1 XC PMP User License</t>
  </si>
  <si>
    <t>LIC-CNDTR-PMP-K9</t>
  </si>
  <si>
    <t>Conductor License for Base Encrypted Software Image</t>
  </si>
  <si>
    <t>LIC-VMCNDTR-PMP-PK</t>
  </si>
  <si>
    <t>PAK for virtual Conductor</t>
  </si>
  <si>
    <t>SW-CDTR-4.X-PMP-K9</t>
  </si>
  <si>
    <t>Cisco TelePresence Conductor base software image v4.x</t>
  </si>
  <si>
    <t>SW-TMS-15.X-K9</t>
  </si>
  <si>
    <t>TMS Base Software Image Version 15.X</t>
  </si>
  <si>
    <t>LIC-TMS-APL-S80100</t>
  </si>
  <si>
    <t>TMS Serial Number included with Base Software</t>
  </si>
  <si>
    <t>LIC-EXP-MSFT-PMP</t>
  </si>
  <si>
    <t>Microsoft Interoperability Option</t>
  </si>
  <si>
    <t>LIC-EXP-RMS-PMP</t>
  </si>
  <si>
    <t>RMS Licensing included with PMP &amp; SMP</t>
  </si>
  <si>
    <t>LIC-TMS-25-PMP</t>
  </si>
  <si>
    <t>Cisco TMS - Additional 25 Direct Managed Systems</t>
  </si>
  <si>
    <t>LIC-TMS-PMP-PAK</t>
  </si>
  <si>
    <t>TMS PAK for Configuration Use</t>
  </si>
  <si>
    <t>LIC-TMS-EX25-PMP</t>
  </si>
  <si>
    <t>TMS Exchange integration for 25 Systems</t>
  </si>
  <si>
    <t>JABBER-DSK-K9-RTU</t>
  </si>
  <si>
    <t>Jabber for Desktop Right to Use</t>
  </si>
  <si>
    <t>LIC-EXP-E-PAK</t>
  </si>
  <si>
    <t>Expressway Series, Expressway-E PAK</t>
  </si>
  <si>
    <t>LIC-EXP-GW</t>
  </si>
  <si>
    <t>Enable GW Feature (H323-SIP)</t>
  </si>
  <si>
    <t>LIC-EXP-E</t>
  </si>
  <si>
    <t>Enable Expressway-E Feature Set</t>
  </si>
  <si>
    <t>LIC-EXP-TURN</t>
  </si>
  <si>
    <t>Enable TURN Relay Option</t>
  </si>
  <si>
    <t>LIC-EXP-AN</t>
  </si>
  <si>
    <t>Enable Advanced Networking Option</t>
  </si>
  <si>
    <t>LIC-SW-EXP-K9</t>
  </si>
  <si>
    <t>License Key Software Encrypted</t>
  </si>
  <si>
    <t>LIC-EXP-SERIES</t>
  </si>
  <si>
    <t>Enable Expressway Series Feature Set</t>
  </si>
  <si>
    <t>LIC-VTS-PMP-PAK</t>
  </si>
  <si>
    <t>PAK for e-Delivery Virtual TS Lic</t>
  </si>
  <si>
    <t>SW-VTS-V4.X-PMP-K9</t>
  </si>
  <si>
    <t>Software Image v4.X for Virtual TelePresence Server</t>
  </si>
  <si>
    <t>R-WBXMTSVR-UWL-K9</t>
  </si>
  <si>
    <t>Webex Meetings Server 2.x Software Kit</t>
  </si>
  <si>
    <t>R-WBXMTSVR-UWL-AU</t>
  </si>
  <si>
    <t>Webex Meetings Server 2.x SW Kit - (Audio Unencyrpted)</t>
  </si>
  <si>
    <t>WBXMTSVR2-UWLUSRK9</t>
  </si>
  <si>
    <t>WebEx Meetings Server 2.x Users</t>
  </si>
  <si>
    <t>EXPWY-VE-E-K9</t>
  </si>
  <si>
    <t>Cisco Expressway-E Server, Virtual Edition</t>
  </si>
  <si>
    <t>BE6K-PAK</t>
  </si>
  <si>
    <t>Cisco Business Edition 6000 - PAK - Single Fulfillment</t>
  </si>
  <si>
    <t>BE6K-UXL-START</t>
  </si>
  <si>
    <t>BE6K Starter Pack - Single Fulfillment Enforcement</t>
  </si>
  <si>
    <t>EXPWY-VE-C-K9</t>
  </si>
  <si>
    <t>Cisco Expressway-C Server, Virtual Edition</t>
  </si>
  <si>
    <t>SW-EXP-8.X-K9</t>
  </si>
  <si>
    <t>Software Image for Expressway with Encryption, Version X8</t>
  </si>
  <si>
    <t>LIC-EXP-DSK</t>
  </si>
  <si>
    <t>Expressway Desktop Endpoint License</t>
  </si>
  <si>
    <t>CCX-11-5E</t>
  </si>
  <si>
    <t>CCX 11 Enhanced 5 seat Promo Bundle</t>
  </si>
  <si>
    <t>CP-8845-K9=</t>
  </si>
  <si>
    <t>Cisco IP Phone 8845</t>
  </si>
  <si>
    <t>3.0.1</t>
  </si>
  <si>
    <t>CON-SNT-CP8845K9</t>
  </si>
  <si>
    <t>SNTC-8X5XNBD Cisco IP Phone 8845</t>
  </si>
  <si>
    <t>CP-7821-K9=</t>
  </si>
  <si>
    <t>Cisco UC Phone 7821</t>
  </si>
  <si>
    <t>4.0.1</t>
  </si>
  <si>
    <t>CON-SNT-CP7821K9</t>
  </si>
  <si>
    <t>SNTC-8X5XNBD Cisco UC Phone 7821</t>
  </si>
  <si>
    <t>CUAC11X</t>
  </si>
  <si>
    <t>Cisco Unified Attendant Consoles 11.x</t>
  </si>
  <si>
    <t>5.0.1</t>
  </si>
  <si>
    <t>CON-ECMU-CUACVT1X</t>
  </si>
  <si>
    <t>SWSS UPGRADES Cisco Unified Attendant Consoles 11.x</t>
  </si>
  <si>
    <t>CUAC11X-STND</t>
  </si>
  <si>
    <t>Cisco Unified Attendant Console Standard 11.x - 1 Lic</t>
  </si>
  <si>
    <t>5.1.0.1</t>
  </si>
  <si>
    <t>CON-ECMU-CUAC11XS</t>
  </si>
  <si>
    <t>SWSS UPGRADES Cisco Unified Attendant Console Standard</t>
  </si>
  <si>
    <t>CISCO2911-V/K9</t>
  </si>
  <si>
    <t>Cisco 2911 Voice Bundle, PVDM3-16, UC License PAK, FL-CUBE10</t>
  </si>
  <si>
    <t>6.0.1</t>
  </si>
  <si>
    <t>CON-SNT-2911V</t>
  </si>
  <si>
    <t>SNTC-8X5XNBD Cisco 2911 Voice Bundle</t>
  </si>
  <si>
    <t>PWR-2911-AC</t>
  </si>
  <si>
    <t>Cisco 2911 AC Power Supply</t>
  </si>
  <si>
    <t>CAB-ACU</t>
  </si>
  <si>
    <t>AC Power Cord (UK), C13, BS 1363, 2.5m</t>
  </si>
  <si>
    <t>FL-CUBEE-5</t>
  </si>
  <si>
    <t>Unified Border Element Enterprise License - 5 sessions</t>
  </si>
  <si>
    <t>SL-29-IPB-K9</t>
  </si>
  <si>
    <t>IP Base License  for Cisco 2901-2951</t>
  </si>
  <si>
    <t>ISR-CCP-EXP</t>
  </si>
  <si>
    <t>Cisco Config Pro Express on Router Flash</t>
  </si>
  <si>
    <t>MEM-2900-512MB-DEF</t>
  </si>
  <si>
    <t>512MB DRAM for Cisco 2901-2921 ISR (Default)</t>
  </si>
  <si>
    <t>SL-29-UC-K9</t>
  </si>
  <si>
    <t>Unified Communication  License  for Cisco 2901-2951</t>
  </si>
  <si>
    <t>MEM-CF-256MB</t>
  </si>
  <si>
    <t>256MB Compact Flash for Cisco 1900, 2900, 3900 ISR</t>
  </si>
  <si>
    <t>HWIC-BLANK</t>
  </si>
  <si>
    <t>Blank faceplate for HWIC slot on Cisco ISR</t>
  </si>
  <si>
    <t>S29UK9-15501T</t>
  </si>
  <si>
    <t>Cisco 2901-2921 IOS UNIVERSAL</t>
  </si>
  <si>
    <t>VWIC3-1MFT-T1/E1</t>
  </si>
  <si>
    <t>1-Port 3rd Gen Multiflex Trunk Voice/WAN Int. Card - T1/E1</t>
  </si>
  <si>
    <t>VIC2-4FXO</t>
  </si>
  <si>
    <t>Four-port Voice Interface Card - FXO (Universal)</t>
  </si>
  <si>
    <t>SM-NM-ADPTR</t>
  </si>
  <si>
    <t>Network Module Adapter for SM Slot on Cisco 2900, 3900 ISR</t>
  </si>
  <si>
    <t>EVM-HD-8FXS/DID</t>
  </si>
  <si>
    <t>High density voice/fax extension module - 8 FXS/DID</t>
  </si>
  <si>
    <t>EM-HDA-6FXO</t>
  </si>
  <si>
    <t>6-port voice/fax expansion module - FXO</t>
  </si>
  <si>
    <t>PVDM3-64</t>
  </si>
  <si>
    <t>64-channel high-density voice DSP module</t>
  </si>
  <si>
    <t>PVDM3-16U32</t>
  </si>
  <si>
    <t>PVDM3 16-channel to 32-channel factory upgrade</t>
  </si>
  <si>
    <t>WS-C2960X-24PS-L</t>
  </si>
  <si>
    <t>Catalyst 2960-X 24 GigE PoE 370W, 4 x 1G SFP, LAN Base</t>
  </si>
  <si>
    <t>7.0.1</t>
  </si>
  <si>
    <t>CON-SNT-WSC224SL</t>
  </si>
  <si>
    <t>SNTC-8X5XNBD Catalyst 2960-X 24 G</t>
  </si>
  <si>
    <t>PWR-CLP</t>
  </si>
  <si>
    <t>Power Retainer Clip For 3560-C, 2960-C and 2960-L Switches</t>
  </si>
  <si>
    <t/>
  </si>
  <si>
    <r>
      <rPr>
        <b/>
        <sz val="9"/>
        <rFont val="Arial"/>
        <family val="2"/>
      </rPr>
      <t>Valid through:</t>
    </r>
    <r>
      <rPr>
        <sz val="9"/>
        <rFont val="Arial"/>
        <family val="2"/>
      </rPr>
      <t xml:space="preserve">  </t>
    </r>
  </si>
  <si>
    <t>Product Total</t>
  </si>
  <si>
    <r>
      <rPr>
        <b/>
        <sz val="9"/>
        <rFont val="Arial"/>
        <family val="2"/>
      </rPr>
      <t>FOB Point:</t>
    </r>
    <r>
      <rPr>
        <sz val="9"/>
        <rFont val="Arial"/>
        <family val="2"/>
      </rPr>
      <t xml:space="preserve">         None</t>
    </r>
  </si>
  <si>
    <t>Service Total :</t>
  </si>
  <si>
    <t>Freight DDP Kenya</t>
  </si>
  <si>
    <t xml:space="preserve">VAT @16% </t>
  </si>
  <si>
    <t>Total Price:</t>
  </si>
  <si>
    <t>Estimate ID:</t>
  </si>
  <si>
    <t>KS60244531KD</t>
  </si>
  <si>
    <t xml:space="preserve">TO: Konvergence </t>
  </si>
  <si>
    <t xml:space="preserve">ATTN: Sheilla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</si>
</sst>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4" formatCode="_(&quot;$&quot;* #,##0.00_);_(&quot;$&quot;* \(#,##0.00\);_(&quot;$&quot;* &quot;-&quot;??_);_(@_)"/>
    <numFmt numFmtId="164" formatCode="#.0"/>
    <numFmt numFmtId="165" formatCode="_([$$-409]* #,##0.00_);_([$$-409]* \(#,##0.00\);_([$$-409]* &quot;-&quot;??_);_(@_)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name val="Helvetica"/>
    </font>
    <font>
      <b/>
      <sz val="9"/>
      <name val="Helvetica"/>
    </font>
    <font>
      <b/>
      <sz val="9"/>
      <name val="Arial"/>
      <family val="2"/>
    </font>
    <font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</fills>
  <borders count="17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medium">
        <color indexed="8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medium">
        <color indexed="64"/>
      </right>
      <top style="thin">
        <color indexed="22"/>
      </top>
      <bottom style="thin">
        <color indexed="22"/>
      </bottom>
      <diagonal/>
    </border>
    <border>
      <left style="medium">
        <color indexed="64"/>
      </left>
      <right/>
      <top/>
      <bottom style="medium">
        <color indexed="8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44">
    <xf numFmtId="0" fontId="0" fillId="0" borderId="0" xfId="0"/>
    <xf numFmtId="0" fontId="5" fillId="2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right" vertical="center" wrapText="1"/>
    </xf>
    <xf numFmtId="0" fontId="5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4" fontId="4" fillId="0" borderId="1" xfId="0" applyNumberFormat="1" applyFont="1" applyBorder="1" applyAlignment="1">
      <alignment horizontal="right" vertical="center" wrapText="1"/>
    </xf>
    <xf numFmtId="0" fontId="4" fillId="0" borderId="1" xfId="0" applyFont="1" applyBorder="1" applyAlignment="1">
      <alignment horizontal="left" vertical="center" wrapText="1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0" xfId="0" applyBorder="1"/>
    <xf numFmtId="0" fontId="0" fillId="0" borderId="7" xfId="0" applyBorder="1"/>
    <xf numFmtId="0" fontId="1" fillId="0" borderId="6" xfId="0" applyFont="1" applyBorder="1"/>
    <xf numFmtId="0" fontId="1" fillId="0" borderId="0" xfId="0" applyFont="1" applyBorder="1"/>
    <xf numFmtId="0" fontId="5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horizontal="right" vertical="center"/>
    </xf>
    <xf numFmtId="0" fontId="5" fillId="2" borderId="8" xfId="0" applyFont="1" applyFill="1" applyBorder="1" applyAlignment="1">
      <alignment horizontal="left" vertical="center" wrapText="1"/>
    </xf>
    <xf numFmtId="0" fontId="5" fillId="2" borderId="9" xfId="0" applyFont="1" applyFill="1" applyBorder="1" applyAlignment="1">
      <alignment horizontal="right" vertical="center" wrapText="1"/>
    </xf>
    <xf numFmtId="164" fontId="5" fillId="0" borderId="8" xfId="0" applyNumberFormat="1" applyFont="1" applyBorder="1" applyAlignment="1">
      <alignment horizontal="left" vertical="center" wrapText="1"/>
    </xf>
    <xf numFmtId="4" fontId="4" fillId="0" borderId="9" xfId="0" applyNumberFormat="1" applyFont="1" applyBorder="1" applyAlignment="1">
      <alignment horizontal="right" vertical="center" wrapText="1"/>
    </xf>
    <xf numFmtId="0" fontId="4" fillId="0" borderId="8" xfId="0" applyFont="1" applyBorder="1" applyAlignment="1">
      <alignment horizontal="left" vertical="center" wrapText="1" indent="1"/>
    </xf>
    <xf numFmtId="0" fontId="0" fillId="0" borderId="10" xfId="0" applyBorder="1"/>
    <xf numFmtId="165" fontId="4" fillId="0" borderId="7" xfId="1" applyNumberFormat="1" applyFont="1" applyBorder="1" applyAlignment="1">
      <alignment horizontal="left" vertical="center"/>
    </xf>
    <xf numFmtId="0" fontId="5" fillId="0" borderId="6" xfId="0" applyFont="1" applyBorder="1" applyAlignment="1">
      <alignment horizontal="left" vertical="center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5" fillId="0" borderId="11" xfId="0" applyFont="1" applyBorder="1" applyAlignment="1">
      <alignment horizontal="left" vertical="center"/>
    </xf>
    <xf numFmtId="165" fontId="4" fillId="0" borderId="13" xfId="1" applyNumberFormat="1" applyFont="1" applyBorder="1" applyAlignment="1">
      <alignment horizontal="left" vertical="center"/>
    </xf>
    <xf numFmtId="0" fontId="5" fillId="0" borderId="14" xfId="0" applyFont="1" applyBorder="1" applyAlignment="1">
      <alignment horizontal="left" vertical="center"/>
    </xf>
    <xf numFmtId="0" fontId="0" fillId="0" borderId="15" xfId="0" applyBorder="1"/>
    <xf numFmtId="165" fontId="5" fillId="0" borderId="16" xfId="1" applyNumberFormat="1" applyFont="1" applyBorder="1" applyAlignment="1">
      <alignment horizontal="left" vertical="center"/>
    </xf>
    <xf numFmtId="0" fontId="2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7" xfId="0" applyBorder="1" applyAlignment="1">
      <alignment horizontal="center"/>
    </xf>
    <xf numFmtId="0" fontId="4" fillId="0" borderId="0" xfId="0" applyFont="1" applyBorder="1" applyAlignment="1">
      <alignment horizontal="right" vertical="center"/>
    </xf>
    <xf numFmtId="0" fontId="0" fillId="0" borderId="0" xfId="0" applyBorder="1"/>
    <xf numFmtId="0" fontId="0" fillId="0" borderId="7" xfId="0" applyBorder="1"/>
    <xf numFmtId="0" fontId="5" fillId="0" borderId="6" xfId="0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1447800</xdr:colOff>
      <xdr:row>7</xdr:row>
      <xdr:rowOff>28575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0500"/>
          <a:ext cx="1990725" cy="127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1"/>
  <sheetViews>
    <sheetView tabSelected="1" topLeftCell="C9" workbookViewId="0">
      <selection activeCell="G20" sqref="G20:G122"/>
    </sheetView>
  </sheetViews>
  <sheetFormatPr defaultRowHeight="14.5" x14ac:dyDescent="0.35"/>
  <cols>
    <col min="1" max="1" width="8.1796875" customWidth="1"/>
    <col min="2" max="2" width="23.453125" customWidth="1"/>
    <col min="3" max="3" width="31.26953125" customWidth="1"/>
    <col min="4" max="4" width="16.453125" customWidth="1"/>
    <col min="5" max="5" width="7.81640625" customWidth="1"/>
    <col min="6" max="6" width="18.453125" customWidth="1"/>
    <col min="7" max="7" width="9.7265625" customWidth="1"/>
    <col min="8" max="8" width="13.7265625" customWidth="1"/>
    <col min="9" max="9" width="7" customWidth="1"/>
    <col min="10" max="10" width="13.7265625" customWidth="1"/>
  </cols>
  <sheetData>
    <row r="1" spans="1:10" x14ac:dyDescent="0.35">
      <c r="A1" s="10"/>
      <c r="B1" s="11"/>
      <c r="C1" s="11"/>
      <c r="D1" s="11"/>
      <c r="E1" s="11"/>
      <c r="F1" s="11"/>
      <c r="G1" s="11"/>
      <c r="H1" s="11"/>
      <c r="I1" s="11"/>
      <c r="J1" s="12"/>
    </row>
    <row r="2" spans="1:10" x14ac:dyDescent="0.35">
      <c r="A2" s="13"/>
      <c r="B2" s="14"/>
      <c r="C2" s="14"/>
      <c r="D2" s="14"/>
      <c r="E2" s="14"/>
      <c r="F2" s="14"/>
      <c r="G2" s="14"/>
      <c r="H2" s="14"/>
      <c r="I2" s="14"/>
      <c r="J2" s="15"/>
    </row>
    <row r="3" spans="1:10" ht="23.5" x14ac:dyDescent="0.55000000000000004">
      <c r="A3" s="13"/>
      <c r="B3" s="14"/>
      <c r="C3" s="14"/>
      <c r="D3" s="14"/>
      <c r="E3" s="36" t="s">
        <v>0</v>
      </c>
      <c r="F3" s="37"/>
      <c r="G3" s="37"/>
      <c r="H3" s="36"/>
      <c r="I3" s="37"/>
      <c r="J3" s="38"/>
    </row>
    <row r="4" spans="1:10" x14ac:dyDescent="0.35">
      <c r="A4" s="13"/>
      <c r="B4" s="14"/>
      <c r="C4" s="14"/>
      <c r="D4" s="14"/>
      <c r="E4" s="14"/>
      <c r="F4" s="14"/>
      <c r="G4" s="14"/>
      <c r="H4" s="14"/>
      <c r="I4" s="14"/>
      <c r="J4" s="15"/>
    </row>
    <row r="5" spans="1:10" x14ac:dyDescent="0.35">
      <c r="A5" s="13"/>
      <c r="B5" s="14"/>
      <c r="C5" s="14"/>
      <c r="D5" s="14"/>
      <c r="E5" s="14"/>
      <c r="F5" s="14"/>
      <c r="G5" s="14"/>
      <c r="H5" s="14"/>
      <c r="I5" s="14"/>
      <c r="J5" s="15"/>
    </row>
    <row r="6" spans="1:10" x14ac:dyDescent="0.35">
      <c r="A6" s="13"/>
      <c r="B6" s="14"/>
      <c r="C6" s="14"/>
      <c r="D6" s="14"/>
      <c r="E6" s="14"/>
      <c r="F6" s="14"/>
      <c r="G6" s="14"/>
      <c r="H6" s="14"/>
      <c r="I6" s="14"/>
      <c r="J6" s="15"/>
    </row>
    <row r="7" spans="1:10" x14ac:dyDescent="0.35">
      <c r="A7" s="13"/>
      <c r="B7" s="14"/>
      <c r="C7" s="14"/>
      <c r="D7" s="14"/>
      <c r="E7" s="14"/>
      <c r="F7" s="14"/>
      <c r="G7" s="14"/>
      <c r="H7" s="14"/>
      <c r="I7" s="14"/>
      <c r="J7" s="15"/>
    </row>
    <row r="8" spans="1:10" x14ac:dyDescent="0.35">
      <c r="A8" s="13"/>
      <c r="B8" s="14"/>
      <c r="C8" s="14"/>
      <c r="D8" s="14"/>
      <c r="E8" s="14"/>
      <c r="F8" s="14"/>
      <c r="G8" s="14"/>
      <c r="H8" s="14"/>
      <c r="I8" s="14"/>
      <c r="J8" s="15"/>
    </row>
    <row r="9" spans="1:10" x14ac:dyDescent="0.35">
      <c r="A9" s="13"/>
      <c r="B9" s="14"/>
      <c r="C9" s="14"/>
      <c r="D9" s="14"/>
      <c r="E9" s="14"/>
      <c r="F9" s="14"/>
      <c r="G9" s="14"/>
      <c r="H9" s="14"/>
      <c r="I9" s="14"/>
      <c r="J9" s="15"/>
    </row>
    <row r="10" spans="1:10" x14ac:dyDescent="0.35">
      <c r="A10" s="16" t="s">
        <v>6</v>
      </c>
      <c r="B10" s="17"/>
      <c r="C10" s="17"/>
      <c r="D10" s="17"/>
      <c r="E10" s="17"/>
      <c r="F10" s="17"/>
      <c r="G10" s="14" t="s">
        <v>246</v>
      </c>
      <c r="H10" s="14"/>
      <c r="I10" s="14"/>
      <c r="J10" s="15"/>
    </row>
    <row r="11" spans="1:10" x14ac:dyDescent="0.35">
      <c r="A11" s="16" t="s">
        <v>2</v>
      </c>
      <c r="B11" s="17"/>
      <c r="C11" s="17"/>
      <c r="D11" s="17"/>
      <c r="E11" s="17"/>
      <c r="F11" s="17"/>
      <c r="G11" s="14" t="s">
        <v>247</v>
      </c>
      <c r="H11" s="14"/>
      <c r="I11" s="14"/>
      <c r="J11" s="15"/>
    </row>
    <row r="12" spans="1:10" x14ac:dyDescent="0.35">
      <c r="A12" s="16" t="s">
        <v>3</v>
      </c>
      <c r="B12" s="17"/>
      <c r="C12" s="17"/>
      <c r="D12" s="17"/>
      <c r="E12" s="17"/>
      <c r="F12" s="17"/>
      <c r="G12" s="14"/>
      <c r="H12" s="14"/>
      <c r="I12" s="14"/>
      <c r="J12" s="15"/>
    </row>
    <row r="13" spans="1:10" x14ac:dyDescent="0.35">
      <c r="A13" s="16" t="s">
        <v>4</v>
      </c>
      <c r="B13" s="17"/>
      <c r="C13" s="17"/>
      <c r="D13" s="17"/>
      <c r="E13" s="17"/>
      <c r="F13" s="17"/>
      <c r="G13" s="14"/>
      <c r="H13" s="14"/>
      <c r="I13" s="14"/>
      <c r="J13" s="15"/>
    </row>
    <row r="14" spans="1:10" x14ac:dyDescent="0.35">
      <c r="A14" s="16" t="s">
        <v>5</v>
      </c>
      <c r="B14" s="17"/>
      <c r="C14" s="17"/>
      <c r="D14" s="17"/>
      <c r="E14" s="17"/>
      <c r="F14" s="17"/>
      <c r="G14" s="18" t="s">
        <v>244</v>
      </c>
      <c r="H14" s="14"/>
      <c r="I14" s="19" t="s">
        <v>245</v>
      </c>
      <c r="J14" s="15"/>
    </row>
    <row r="15" spans="1:10" x14ac:dyDescent="0.35">
      <c r="A15" s="16" t="s">
        <v>1</v>
      </c>
      <c r="B15" s="17"/>
      <c r="C15" s="17"/>
      <c r="D15" s="17"/>
      <c r="E15" s="17"/>
      <c r="F15" s="17"/>
      <c r="G15" s="14"/>
      <c r="H15" s="14"/>
      <c r="I15" s="14"/>
      <c r="J15" s="15"/>
    </row>
    <row r="16" spans="1:10" x14ac:dyDescent="0.35">
      <c r="A16" s="13"/>
      <c r="B16" s="14"/>
      <c r="C16" s="14"/>
      <c r="D16" s="14"/>
      <c r="E16" s="14"/>
      <c r="F16" s="14"/>
      <c r="G16" s="14"/>
      <c r="H16" s="14"/>
      <c r="I16" s="14"/>
      <c r="J16" s="15"/>
    </row>
    <row r="17" spans="1:10" x14ac:dyDescent="0.35">
      <c r="A17" s="13"/>
      <c r="B17" s="14"/>
      <c r="C17" s="14"/>
      <c r="D17" s="14"/>
      <c r="E17" s="14"/>
      <c r="F17" s="14"/>
      <c r="G17" s="14"/>
      <c r="H17" s="14"/>
      <c r="I17" s="14"/>
      <c r="J17" s="15"/>
    </row>
    <row r="18" spans="1:10" x14ac:dyDescent="0.35">
      <c r="A18" s="13"/>
      <c r="B18" s="14"/>
      <c r="C18" s="14"/>
      <c r="D18" s="14"/>
      <c r="E18" s="14"/>
      <c r="F18" s="14"/>
      <c r="G18" s="14"/>
      <c r="H18" s="39" t="s">
        <v>7</v>
      </c>
      <c r="I18" s="40"/>
      <c r="J18" s="41"/>
    </row>
    <row r="19" spans="1:10" ht="23" x14ac:dyDescent="0.35">
      <c r="A19" s="20" t="s">
        <v>8</v>
      </c>
      <c r="B19" s="1" t="s">
        <v>9</v>
      </c>
      <c r="C19" s="1" t="s">
        <v>10</v>
      </c>
      <c r="D19" s="2" t="s">
        <v>11</v>
      </c>
      <c r="E19" s="2" t="s">
        <v>12</v>
      </c>
      <c r="F19" s="3" t="s">
        <v>13</v>
      </c>
      <c r="G19" s="2" t="s">
        <v>14</v>
      </c>
      <c r="H19" s="3" t="s">
        <v>15</v>
      </c>
      <c r="I19" s="3" t="s">
        <v>16</v>
      </c>
      <c r="J19" s="21" t="s">
        <v>17</v>
      </c>
    </row>
    <row r="20" spans="1:10" ht="23" x14ac:dyDescent="0.35">
      <c r="A20" s="22">
        <v>1</v>
      </c>
      <c r="B20" s="4" t="s">
        <v>18</v>
      </c>
      <c r="C20" s="5" t="s">
        <v>19</v>
      </c>
      <c r="D20" s="6" t="s">
        <v>20</v>
      </c>
      <c r="E20" s="6">
        <v>21</v>
      </c>
      <c r="F20" s="7">
        <v>9400</v>
      </c>
      <c r="G20" s="6">
        <v>2</v>
      </c>
      <c r="H20" s="7">
        <f t="shared" ref="H20:H83" si="0">ROUND(F20-((F20*I20)/100),2)</f>
        <v>6016</v>
      </c>
      <c r="I20" s="7">
        <v>36</v>
      </c>
      <c r="J20" s="23">
        <f t="shared" ref="J20:J83" si="1">ROUND((G20*H20),2)</f>
        <v>12032</v>
      </c>
    </row>
    <row r="21" spans="1:10" ht="23" x14ac:dyDescent="0.35">
      <c r="A21" s="24" t="s">
        <v>21</v>
      </c>
      <c r="B21" s="8" t="s">
        <v>22</v>
      </c>
      <c r="C21" s="5" t="s">
        <v>23</v>
      </c>
      <c r="D21" s="6">
        <v>12</v>
      </c>
      <c r="E21" s="6" t="s">
        <v>24</v>
      </c>
      <c r="F21" s="7">
        <v>362.25</v>
      </c>
      <c r="G21" s="6">
        <v>2</v>
      </c>
      <c r="H21" s="7">
        <f t="shared" si="0"/>
        <v>253.58</v>
      </c>
      <c r="I21" s="7">
        <v>30</v>
      </c>
      <c r="J21" s="23">
        <f t="shared" si="1"/>
        <v>507.16</v>
      </c>
    </row>
    <row r="22" spans="1:10" ht="23" x14ac:dyDescent="0.35">
      <c r="A22" s="24">
        <v>1.1000000000000001</v>
      </c>
      <c r="B22" s="8" t="s">
        <v>25</v>
      </c>
      <c r="C22" s="5" t="s">
        <v>26</v>
      </c>
      <c r="D22" s="6" t="s">
        <v>20</v>
      </c>
      <c r="E22" s="6">
        <v>8</v>
      </c>
      <c r="F22" s="7">
        <v>0</v>
      </c>
      <c r="G22" s="6">
        <v>2</v>
      </c>
      <c r="H22" s="7">
        <f t="shared" si="0"/>
        <v>0</v>
      </c>
      <c r="I22" s="7">
        <v>0</v>
      </c>
      <c r="J22" s="23">
        <f t="shared" si="1"/>
        <v>0</v>
      </c>
    </row>
    <row r="23" spans="1:10" ht="23" x14ac:dyDescent="0.35">
      <c r="A23" s="24">
        <v>1.2</v>
      </c>
      <c r="B23" s="8" t="s">
        <v>27</v>
      </c>
      <c r="C23" s="5" t="s">
        <v>28</v>
      </c>
      <c r="D23" s="6" t="s">
        <v>20</v>
      </c>
      <c r="E23" s="6">
        <v>21</v>
      </c>
      <c r="F23" s="7">
        <v>0</v>
      </c>
      <c r="G23" s="6">
        <v>2</v>
      </c>
      <c r="H23" s="7">
        <f t="shared" si="0"/>
        <v>0</v>
      </c>
      <c r="I23" s="7">
        <v>0</v>
      </c>
      <c r="J23" s="23">
        <f t="shared" si="1"/>
        <v>0</v>
      </c>
    </row>
    <row r="24" spans="1:10" ht="23" x14ac:dyDescent="0.35">
      <c r="A24" s="24">
        <v>1.3</v>
      </c>
      <c r="B24" s="8" t="s">
        <v>29</v>
      </c>
      <c r="C24" s="5" t="s">
        <v>30</v>
      </c>
      <c r="D24" s="6" t="s">
        <v>20</v>
      </c>
      <c r="E24" s="6">
        <v>21</v>
      </c>
      <c r="F24" s="7">
        <v>0</v>
      </c>
      <c r="G24" s="6">
        <v>2</v>
      </c>
      <c r="H24" s="7">
        <f t="shared" si="0"/>
        <v>0</v>
      </c>
      <c r="I24" s="7">
        <v>0</v>
      </c>
      <c r="J24" s="23">
        <f t="shared" si="1"/>
        <v>0</v>
      </c>
    </row>
    <row r="25" spans="1:10" ht="23" x14ac:dyDescent="0.35">
      <c r="A25" s="24">
        <v>1.4</v>
      </c>
      <c r="B25" s="8" t="s">
        <v>31</v>
      </c>
      <c r="C25" s="5" t="s">
        <v>32</v>
      </c>
      <c r="D25" s="6" t="s">
        <v>20</v>
      </c>
      <c r="E25" s="6">
        <v>21</v>
      </c>
      <c r="F25" s="7">
        <v>0</v>
      </c>
      <c r="G25" s="6">
        <v>2</v>
      </c>
      <c r="H25" s="7">
        <f t="shared" si="0"/>
        <v>0</v>
      </c>
      <c r="I25" s="7">
        <v>0</v>
      </c>
      <c r="J25" s="23">
        <f t="shared" si="1"/>
        <v>0</v>
      </c>
    </row>
    <row r="26" spans="1:10" ht="23" x14ac:dyDescent="0.35">
      <c r="A26" s="24">
        <v>1.5</v>
      </c>
      <c r="B26" s="8" t="s">
        <v>33</v>
      </c>
      <c r="C26" s="5" t="s">
        <v>34</v>
      </c>
      <c r="D26" s="6" t="s">
        <v>20</v>
      </c>
      <c r="E26" s="6">
        <v>28</v>
      </c>
      <c r="F26" s="7">
        <v>0</v>
      </c>
      <c r="G26" s="6">
        <v>2</v>
      </c>
      <c r="H26" s="7">
        <f t="shared" si="0"/>
        <v>0</v>
      </c>
      <c r="I26" s="7">
        <v>0</v>
      </c>
      <c r="J26" s="23">
        <f t="shared" si="1"/>
        <v>0</v>
      </c>
    </row>
    <row r="27" spans="1:10" x14ac:dyDescent="0.35">
      <c r="A27" s="24">
        <v>1.6</v>
      </c>
      <c r="B27" s="8" t="s">
        <v>35</v>
      </c>
      <c r="C27" s="5" t="s">
        <v>36</v>
      </c>
      <c r="D27" s="6" t="s">
        <v>20</v>
      </c>
      <c r="E27" s="6">
        <v>35</v>
      </c>
      <c r="F27" s="7">
        <v>0</v>
      </c>
      <c r="G27" s="6">
        <v>12</v>
      </c>
      <c r="H27" s="7">
        <f t="shared" si="0"/>
        <v>0</v>
      </c>
      <c r="I27" s="7">
        <v>0</v>
      </c>
      <c r="J27" s="23">
        <f t="shared" si="1"/>
        <v>0</v>
      </c>
    </row>
    <row r="28" spans="1:10" x14ac:dyDescent="0.35">
      <c r="A28" s="24">
        <v>1.7</v>
      </c>
      <c r="B28" s="8" t="s">
        <v>37</v>
      </c>
      <c r="C28" s="5" t="s">
        <v>38</v>
      </c>
      <c r="D28" s="6" t="s">
        <v>20</v>
      </c>
      <c r="E28" s="6">
        <v>10</v>
      </c>
      <c r="F28" s="7">
        <v>0</v>
      </c>
      <c r="G28" s="6">
        <v>2</v>
      </c>
      <c r="H28" s="7">
        <f t="shared" si="0"/>
        <v>0</v>
      </c>
      <c r="I28" s="7">
        <v>0</v>
      </c>
      <c r="J28" s="23">
        <f t="shared" si="1"/>
        <v>0</v>
      </c>
    </row>
    <row r="29" spans="1:10" ht="23" x14ac:dyDescent="0.35">
      <c r="A29" s="24">
        <v>1.8</v>
      </c>
      <c r="B29" s="8" t="s">
        <v>39</v>
      </c>
      <c r="C29" s="5" t="s">
        <v>40</v>
      </c>
      <c r="D29" s="6" t="s">
        <v>20</v>
      </c>
      <c r="E29" s="6">
        <v>21</v>
      </c>
      <c r="F29" s="7">
        <v>0</v>
      </c>
      <c r="G29" s="6">
        <v>4</v>
      </c>
      <c r="H29" s="7">
        <f t="shared" si="0"/>
        <v>0</v>
      </c>
      <c r="I29" s="7">
        <v>0</v>
      </c>
      <c r="J29" s="23">
        <f t="shared" si="1"/>
        <v>0</v>
      </c>
    </row>
    <row r="30" spans="1:10" x14ac:dyDescent="0.35">
      <c r="A30" s="24">
        <v>1.9</v>
      </c>
      <c r="B30" s="8" t="s">
        <v>41</v>
      </c>
      <c r="C30" s="5" t="s">
        <v>42</v>
      </c>
      <c r="D30" s="6" t="s">
        <v>20</v>
      </c>
      <c r="E30" s="6">
        <v>21</v>
      </c>
      <c r="F30" s="7">
        <v>0</v>
      </c>
      <c r="G30" s="6">
        <v>2</v>
      </c>
      <c r="H30" s="7">
        <f t="shared" si="0"/>
        <v>0</v>
      </c>
      <c r="I30" s="7">
        <v>0</v>
      </c>
      <c r="J30" s="23">
        <f t="shared" si="1"/>
        <v>0</v>
      </c>
    </row>
    <row r="31" spans="1:10" ht="23" x14ac:dyDescent="0.35">
      <c r="A31" s="24">
        <v>1.1000000000000001</v>
      </c>
      <c r="B31" s="8" t="s">
        <v>43</v>
      </c>
      <c r="C31" s="5" t="s">
        <v>44</v>
      </c>
      <c r="D31" s="6" t="s">
        <v>20</v>
      </c>
      <c r="E31" s="6">
        <v>21</v>
      </c>
      <c r="F31" s="7">
        <v>0</v>
      </c>
      <c r="G31" s="6">
        <v>2</v>
      </c>
      <c r="H31" s="7">
        <f t="shared" si="0"/>
        <v>0</v>
      </c>
      <c r="I31" s="7">
        <v>0</v>
      </c>
      <c r="J31" s="23">
        <f t="shared" si="1"/>
        <v>0</v>
      </c>
    </row>
    <row r="32" spans="1:10" ht="23" x14ac:dyDescent="0.35">
      <c r="A32" s="22">
        <v>2</v>
      </c>
      <c r="B32" s="4" t="s">
        <v>45</v>
      </c>
      <c r="C32" s="5" t="s">
        <v>46</v>
      </c>
      <c r="D32" s="6" t="s">
        <v>20</v>
      </c>
      <c r="E32" s="6">
        <v>2</v>
      </c>
      <c r="F32" s="7">
        <v>0</v>
      </c>
      <c r="G32" s="6">
        <v>1</v>
      </c>
      <c r="H32" s="7">
        <f t="shared" si="0"/>
        <v>0</v>
      </c>
      <c r="I32" s="7">
        <v>0</v>
      </c>
      <c r="J32" s="23">
        <f t="shared" si="1"/>
        <v>0</v>
      </c>
    </row>
    <row r="33" spans="1:10" x14ac:dyDescent="0.35">
      <c r="A33" s="24" t="s">
        <v>47</v>
      </c>
      <c r="B33" s="8" t="s">
        <v>48</v>
      </c>
      <c r="C33" s="5" t="s">
        <v>49</v>
      </c>
      <c r="D33" s="6">
        <v>12</v>
      </c>
      <c r="E33" s="6" t="s">
        <v>24</v>
      </c>
      <c r="F33" s="7">
        <v>0</v>
      </c>
      <c r="G33" s="6">
        <v>1</v>
      </c>
      <c r="H33" s="7">
        <f t="shared" si="0"/>
        <v>0</v>
      </c>
      <c r="I33" s="7">
        <v>30</v>
      </c>
      <c r="J33" s="23">
        <f t="shared" si="1"/>
        <v>0</v>
      </c>
    </row>
    <row r="34" spans="1:10" ht="23" x14ac:dyDescent="0.35">
      <c r="A34" s="24">
        <v>2.1</v>
      </c>
      <c r="B34" s="8" t="s">
        <v>50</v>
      </c>
      <c r="C34" s="5" t="s">
        <v>51</v>
      </c>
      <c r="D34" s="6" t="s">
        <v>20</v>
      </c>
      <c r="E34" s="6">
        <v>21</v>
      </c>
      <c r="F34" s="7">
        <v>0</v>
      </c>
      <c r="G34" s="6">
        <v>1</v>
      </c>
      <c r="H34" s="7">
        <f t="shared" si="0"/>
        <v>0</v>
      </c>
      <c r="I34" s="7">
        <v>0</v>
      </c>
      <c r="J34" s="23">
        <f t="shared" si="1"/>
        <v>0</v>
      </c>
    </row>
    <row r="35" spans="1:10" ht="23" x14ac:dyDescent="0.35">
      <c r="A35" s="24">
        <v>2.2000000000000002</v>
      </c>
      <c r="B35" s="8" t="s">
        <v>52</v>
      </c>
      <c r="C35" s="5" t="s">
        <v>53</v>
      </c>
      <c r="D35" s="6" t="s">
        <v>20</v>
      </c>
      <c r="E35" s="6">
        <v>2</v>
      </c>
      <c r="F35" s="7">
        <v>5375</v>
      </c>
      <c r="G35" s="6">
        <v>1</v>
      </c>
      <c r="H35" s="7">
        <f t="shared" si="0"/>
        <v>3440</v>
      </c>
      <c r="I35" s="7">
        <v>36</v>
      </c>
      <c r="J35" s="23">
        <f t="shared" si="1"/>
        <v>3440</v>
      </c>
    </row>
    <row r="36" spans="1:10" ht="23" x14ac:dyDescent="0.35">
      <c r="A36" s="24">
        <v>2.2999999999999998</v>
      </c>
      <c r="B36" s="8" t="s">
        <v>54</v>
      </c>
      <c r="C36" s="5" t="s">
        <v>55</v>
      </c>
      <c r="D36" s="6" t="s">
        <v>20</v>
      </c>
      <c r="E36" s="6">
        <v>21</v>
      </c>
      <c r="F36" s="7">
        <v>125</v>
      </c>
      <c r="G36" s="6">
        <v>100</v>
      </c>
      <c r="H36" s="7">
        <f t="shared" si="0"/>
        <v>80</v>
      </c>
      <c r="I36" s="7">
        <v>36</v>
      </c>
      <c r="J36" s="23">
        <f t="shared" si="1"/>
        <v>8000</v>
      </c>
    </row>
    <row r="37" spans="1:10" ht="23" x14ac:dyDescent="0.35">
      <c r="A37" s="24">
        <v>2.4</v>
      </c>
      <c r="B37" s="8" t="s">
        <v>56</v>
      </c>
      <c r="C37" s="5" t="s">
        <v>57</v>
      </c>
      <c r="D37" s="6" t="s">
        <v>20</v>
      </c>
      <c r="E37" s="6">
        <v>21</v>
      </c>
      <c r="F37" s="7">
        <v>210</v>
      </c>
      <c r="G37" s="6">
        <v>250</v>
      </c>
      <c r="H37" s="7">
        <f t="shared" si="0"/>
        <v>134.4</v>
      </c>
      <c r="I37" s="7">
        <v>36</v>
      </c>
      <c r="J37" s="23">
        <f t="shared" si="1"/>
        <v>33600</v>
      </c>
    </row>
    <row r="38" spans="1:10" ht="23" x14ac:dyDescent="0.35">
      <c r="A38" s="24">
        <v>2.5</v>
      </c>
      <c r="B38" s="8" t="s">
        <v>58</v>
      </c>
      <c r="C38" s="5" t="s">
        <v>59</v>
      </c>
      <c r="D38" s="6" t="s">
        <v>20</v>
      </c>
      <c r="E38" s="6">
        <v>21</v>
      </c>
      <c r="F38" s="7">
        <v>500</v>
      </c>
      <c r="G38" s="6">
        <v>15</v>
      </c>
      <c r="H38" s="7">
        <f t="shared" si="0"/>
        <v>320</v>
      </c>
      <c r="I38" s="7">
        <v>36</v>
      </c>
      <c r="J38" s="23">
        <f t="shared" si="1"/>
        <v>4800</v>
      </c>
    </row>
    <row r="39" spans="1:10" ht="23" x14ac:dyDescent="0.35">
      <c r="A39" s="24">
        <v>2.6</v>
      </c>
      <c r="B39" s="8" t="s">
        <v>60</v>
      </c>
      <c r="C39" s="5" t="s">
        <v>61</v>
      </c>
      <c r="D39" s="6" t="s">
        <v>20</v>
      </c>
      <c r="E39" s="6">
        <v>14</v>
      </c>
      <c r="F39" s="7">
        <v>0</v>
      </c>
      <c r="G39" s="6">
        <v>1</v>
      </c>
      <c r="H39" s="7">
        <f t="shared" si="0"/>
        <v>0</v>
      </c>
      <c r="I39" s="7">
        <v>0</v>
      </c>
      <c r="J39" s="23">
        <f t="shared" si="1"/>
        <v>0</v>
      </c>
    </row>
    <row r="40" spans="1:10" x14ac:dyDescent="0.35">
      <c r="A40" s="24">
        <v>2.7</v>
      </c>
      <c r="B40" s="8" t="s">
        <v>62</v>
      </c>
      <c r="C40" s="5" t="s">
        <v>63</v>
      </c>
      <c r="D40" s="6" t="s">
        <v>20</v>
      </c>
      <c r="E40" s="6">
        <v>21</v>
      </c>
      <c r="F40" s="7">
        <v>0</v>
      </c>
      <c r="G40" s="6">
        <v>250</v>
      </c>
      <c r="H40" s="7">
        <f t="shared" si="0"/>
        <v>0</v>
      </c>
      <c r="I40" s="7">
        <v>0</v>
      </c>
      <c r="J40" s="23">
        <f t="shared" si="1"/>
        <v>0</v>
      </c>
    </row>
    <row r="41" spans="1:10" ht="23" x14ac:dyDescent="0.35">
      <c r="A41" s="24">
        <v>2.8</v>
      </c>
      <c r="B41" s="8" t="s">
        <v>64</v>
      </c>
      <c r="C41" s="5" t="s">
        <v>65</v>
      </c>
      <c r="D41" s="6" t="s">
        <v>20</v>
      </c>
      <c r="E41" s="6">
        <v>21</v>
      </c>
      <c r="F41" s="7">
        <v>0</v>
      </c>
      <c r="G41" s="6">
        <v>50</v>
      </c>
      <c r="H41" s="7">
        <f t="shared" si="0"/>
        <v>0</v>
      </c>
      <c r="I41" s="7">
        <v>0</v>
      </c>
      <c r="J41" s="23">
        <f t="shared" si="1"/>
        <v>0</v>
      </c>
    </row>
    <row r="42" spans="1:10" ht="23" x14ac:dyDescent="0.35">
      <c r="A42" s="24" t="s">
        <v>66</v>
      </c>
      <c r="B42" s="8" t="s">
        <v>67</v>
      </c>
      <c r="C42" s="5" t="s">
        <v>68</v>
      </c>
      <c r="D42" s="6">
        <v>12</v>
      </c>
      <c r="E42" s="6" t="s">
        <v>24</v>
      </c>
      <c r="F42" s="7">
        <v>69</v>
      </c>
      <c r="G42" s="6">
        <v>50</v>
      </c>
      <c r="H42" s="7">
        <f t="shared" si="0"/>
        <v>48.3</v>
      </c>
      <c r="I42" s="7">
        <v>30</v>
      </c>
      <c r="J42" s="23">
        <f t="shared" si="1"/>
        <v>2415</v>
      </c>
    </row>
    <row r="43" spans="1:10" ht="23" x14ac:dyDescent="0.35">
      <c r="A43" s="24">
        <v>2.9</v>
      </c>
      <c r="B43" s="8" t="s">
        <v>69</v>
      </c>
      <c r="C43" s="5" t="s">
        <v>70</v>
      </c>
      <c r="D43" s="6" t="s">
        <v>20</v>
      </c>
      <c r="E43" s="6">
        <v>21</v>
      </c>
      <c r="F43" s="7">
        <v>0</v>
      </c>
      <c r="G43" s="6">
        <v>50</v>
      </c>
      <c r="H43" s="7">
        <f t="shared" si="0"/>
        <v>0</v>
      </c>
      <c r="I43" s="7">
        <v>0</v>
      </c>
      <c r="J43" s="23">
        <f t="shared" si="1"/>
        <v>0</v>
      </c>
    </row>
    <row r="44" spans="1:10" x14ac:dyDescent="0.35">
      <c r="A44" s="24">
        <v>2.1</v>
      </c>
      <c r="B44" s="8" t="s">
        <v>71</v>
      </c>
      <c r="C44" s="5" t="s">
        <v>72</v>
      </c>
      <c r="D44" s="6" t="s">
        <v>20</v>
      </c>
      <c r="E44" s="6">
        <v>14</v>
      </c>
      <c r="F44" s="7">
        <v>0</v>
      </c>
      <c r="G44" s="6">
        <v>1</v>
      </c>
      <c r="H44" s="7">
        <f t="shared" si="0"/>
        <v>0</v>
      </c>
      <c r="I44" s="7">
        <v>0</v>
      </c>
      <c r="J44" s="23">
        <f t="shared" si="1"/>
        <v>0</v>
      </c>
    </row>
    <row r="45" spans="1:10" ht="23" x14ac:dyDescent="0.35">
      <c r="A45" s="24">
        <v>2.11</v>
      </c>
      <c r="B45" s="8" t="s">
        <v>73</v>
      </c>
      <c r="C45" s="5" t="s">
        <v>74</v>
      </c>
      <c r="D45" s="6" t="s">
        <v>20</v>
      </c>
      <c r="E45" s="6">
        <v>14</v>
      </c>
      <c r="F45" s="7">
        <v>0</v>
      </c>
      <c r="G45" s="6">
        <v>2</v>
      </c>
      <c r="H45" s="7">
        <f t="shared" si="0"/>
        <v>0</v>
      </c>
      <c r="I45" s="7">
        <v>0</v>
      </c>
      <c r="J45" s="23">
        <f t="shared" si="1"/>
        <v>0</v>
      </c>
    </row>
    <row r="46" spans="1:10" x14ac:dyDescent="0.35">
      <c r="A46" s="24">
        <v>2.12</v>
      </c>
      <c r="B46" s="8" t="s">
        <v>75</v>
      </c>
      <c r="C46" s="5" t="s">
        <v>76</v>
      </c>
      <c r="D46" s="6" t="s">
        <v>20</v>
      </c>
      <c r="E46" s="6">
        <v>21</v>
      </c>
      <c r="F46" s="7">
        <v>0</v>
      </c>
      <c r="G46" s="6">
        <v>1</v>
      </c>
      <c r="H46" s="7">
        <f t="shared" si="0"/>
        <v>0</v>
      </c>
      <c r="I46" s="7">
        <v>0</v>
      </c>
      <c r="J46" s="23">
        <f t="shared" si="1"/>
        <v>0</v>
      </c>
    </row>
    <row r="47" spans="1:10" x14ac:dyDescent="0.35">
      <c r="A47" s="24">
        <v>2.13</v>
      </c>
      <c r="B47" s="8" t="s">
        <v>77</v>
      </c>
      <c r="C47" s="5" t="s">
        <v>78</v>
      </c>
      <c r="D47" s="6" t="s">
        <v>20</v>
      </c>
      <c r="E47" s="6">
        <v>21</v>
      </c>
      <c r="F47" s="7">
        <v>0</v>
      </c>
      <c r="G47" s="6">
        <v>1</v>
      </c>
      <c r="H47" s="7">
        <f t="shared" si="0"/>
        <v>0</v>
      </c>
      <c r="I47" s="7">
        <v>0</v>
      </c>
      <c r="J47" s="23">
        <f t="shared" si="1"/>
        <v>0</v>
      </c>
    </row>
    <row r="48" spans="1:10" ht="23" x14ac:dyDescent="0.35">
      <c r="A48" s="24">
        <v>2.14</v>
      </c>
      <c r="B48" s="8" t="s">
        <v>79</v>
      </c>
      <c r="C48" s="5" t="s">
        <v>80</v>
      </c>
      <c r="D48" s="6" t="s">
        <v>20</v>
      </c>
      <c r="E48" s="6">
        <v>21</v>
      </c>
      <c r="F48" s="7">
        <v>0</v>
      </c>
      <c r="G48" s="6">
        <v>5</v>
      </c>
      <c r="H48" s="7">
        <f t="shared" si="0"/>
        <v>0</v>
      </c>
      <c r="I48" s="7">
        <v>0</v>
      </c>
      <c r="J48" s="23">
        <f t="shared" si="1"/>
        <v>0</v>
      </c>
    </row>
    <row r="49" spans="1:10" ht="23" x14ac:dyDescent="0.35">
      <c r="A49" s="24" t="s">
        <v>81</v>
      </c>
      <c r="B49" s="8" t="s">
        <v>82</v>
      </c>
      <c r="C49" s="5" t="s">
        <v>83</v>
      </c>
      <c r="D49" s="6">
        <v>12</v>
      </c>
      <c r="E49" s="6" t="s">
        <v>24</v>
      </c>
      <c r="F49" s="7">
        <v>230</v>
      </c>
      <c r="G49" s="6">
        <v>5</v>
      </c>
      <c r="H49" s="7">
        <f t="shared" si="0"/>
        <v>161</v>
      </c>
      <c r="I49" s="7">
        <v>30</v>
      </c>
      <c r="J49" s="23">
        <f t="shared" si="1"/>
        <v>805</v>
      </c>
    </row>
    <row r="50" spans="1:10" x14ac:dyDescent="0.35">
      <c r="A50" s="24">
        <v>2.15</v>
      </c>
      <c r="B50" s="8" t="s">
        <v>84</v>
      </c>
      <c r="C50" s="5" t="s">
        <v>85</v>
      </c>
      <c r="D50" s="6" t="s">
        <v>20</v>
      </c>
      <c r="E50" s="6">
        <v>21</v>
      </c>
      <c r="F50" s="7">
        <v>0</v>
      </c>
      <c r="G50" s="6">
        <v>1</v>
      </c>
      <c r="H50" s="7">
        <f t="shared" si="0"/>
        <v>0</v>
      </c>
      <c r="I50" s="7">
        <v>0</v>
      </c>
      <c r="J50" s="23">
        <f t="shared" si="1"/>
        <v>0</v>
      </c>
    </row>
    <row r="51" spans="1:10" ht="23" x14ac:dyDescent="0.35">
      <c r="A51" s="24">
        <v>2.16</v>
      </c>
      <c r="B51" s="8" t="s">
        <v>86</v>
      </c>
      <c r="C51" s="5" t="s">
        <v>87</v>
      </c>
      <c r="D51" s="6" t="s">
        <v>20</v>
      </c>
      <c r="E51" s="6">
        <v>21</v>
      </c>
      <c r="F51" s="7">
        <v>0</v>
      </c>
      <c r="G51" s="6">
        <v>1</v>
      </c>
      <c r="H51" s="7">
        <f t="shared" si="0"/>
        <v>0</v>
      </c>
      <c r="I51" s="7">
        <v>0</v>
      </c>
      <c r="J51" s="23">
        <f t="shared" si="1"/>
        <v>0</v>
      </c>
    </row>
    <row r="52" spans="1:10" ht="23" x14ac:dyDescent="0.35">
      <c r="A52" s="24">
        <v>2.17</v>
      </c>
      <c r="B52" s="8" t="s">
        <v>88</v>
      </c>
      <c r="C52" s="5" t="s">
        <v>89</v>
      </c>
      <c r="D52" s="6" t="s">
        <v>20</v>
      </c>
      <c r="E52" s="6">
        <v>14</v>
      </c>
      <c r="F52" s="7">
        <v>0</v>
      </c>
      <c r="G52" s="6">
        <v>10</v>
      </c>
      <c r="H52" s="7">
        <f t="shared" si="0"/>
        <v>0</v>
      </c>
      <c r="I52" s="7">
        <v>0</v>
      </c>
      <c r="J52" s="23">
        <f t="shared" si="1"/>
        <v>0</v>
      </c>
    </row>
    <row r="53" spans="1:10" ht="23" x14ac:dyDescent="0.35">
      <c r="A53" s="24">
        <v>2.1800000000000002</v>
      </c>
      <c r="B53" s="8" t="s">
        <v>90</v>
      </c>
      <c r="C53" s="5" t="s">
        <v>91</v>
      </c>
      <c r="D53" s="6" t="s">
        <v>20</v>
      </c>
      <c r="E53" s="6">
        <v>21</v>
      </c>
      <c r="F53" s="7">
        <v>0</v>
      </c>
      <c r="G53" s="6">
        <v>2</v>
      </c>
      <c r="H53" s="7">
        <f t="shared" si="0"/>
        <v>0</v>
      </c>
      <c r="I53" s="7">
        <v>0</v>
      </c>
      <c r="J53" s="23">
        <f t="shared" si="1"/>
        <v>0</v>
      </c>
    </row>
    <row r="54" spans="1:10" ht="23" x14ac:dyDescent="0.35">
      <c r="A54" s="24">
        <v>2.19</v>
      </c>
      <c r="B54" s="8" t="s">
        <v>92</v>
      </c>
      <c r="C54" s="5" t="s">
        <v>93</v>
      </c>
      <c r="D54" s="6" t="s">
        <v>20</v>
      </c>
      <c r="E54" s="6">
        <v>21</v>
      </c>
      <c r="F54" s="7">
        <v>0</v>
      </c>
      <c r="G54" s="6">
        <v>250</v>
      </c>
      <c r="H54" s="7">
        <f t="shared" si="0"/>
        <v>0</v>
      </c>
      <c r="I54" s="7">
        <v>0</v>
      </c>
      <c r="J54" s="23">
        <f t="shared" si="1"/>
        <v>0</v>
      </c>
    </row>
    <row r="55" spans="1:10" ht="23" x14ac:dyDescent="0.35">
      <c r="A55" s="24" t="s">
        <v>94</v>
      </c>
      <c r="B55" s="8" t="s">
        <v>95</v>
      </c>
      <c r="C55" s="5" t="s">
        <v>96</v>
      </c>
      <c r="D55" s="6">
        <v>12</v>
      </c>
      <c r="E55" s="6" t="s">
        <v>24</v>
      </c>
      <c r="F55" s="7">
        <v>27.6</v>
      </c>
      <c r="G55" s="6">
        <v>250</v>
      </c>
      <c r="H55" s="7">
        <f t="shared" si="0"/>
        <v>19.32</v>
      </c>
      <c r="I55" s="7">
        <v>30</v>
      </c>
      <c r="J55" s="23">
        <f t="shared" si="1"/>
        <v>4830</v>
      </c>
    </row>
    <row r="56" spans="1:10" x14ac:dyDescent="0.35">
      <c r="A56" s="24">
        <v>2.2000000000000002</v>
      </c>
      <c r="B56" s="8" t="s">
        <v>97</v>
      </c>
      <c r="C56" s="5" t="s">
        <v>98</v>
      </c>
      <c r="D56" s="6" t="s">
        <v>20</v>
      </c>
      <c r="E56" s="6">
        <v>21</v>
      </c>
      <c r="F56" s="7">
        <v>0</v>
      </c>
      <c r="G56" s="6">
        <v>4</v>
      </c>
      <c r="H56" s="7">
        <f t="shared" si="0"/>
        <v>0</v>
      </c>
      <c r="I56" s="7">
        <v>0</v>
      </c>
      <c r="J56" s="23">
        <f t="shared" si="1"/>
        <v>0</v>
      </c>
    </row>
    <row r="57" spans="1:10" ht="23" x14ac:dyDescent="0.35">
      <c r="A57" s="24">
        <v>2.21</v>
      </c>
      <c r="B57" s="8" t="s">
        <v>99</v>
      </c>
      <c r="C57" s="5" t="s">
        <v>100</v>
      </c>
      <c r="D57" s="6" t="s">
        <v>20</v>
      </c>
      <c r="E57" s="6">
        <v>21</v>
      </c>
      <c r="F57" s="7">
        <v>0</v>
      </c>
      <c r="G57" s="6">
        <v>4</v>
      </c>
      <c r="H57" s="7">
        <f t="shared" si="0"/>
        <v>0</v>
      </c>
      <c r="I57" s="7">
        <v>0</v>
      </c>
      <c r="J57" s="23">
        <f t="shared" si="1"/>
        <v>0</v>
      </c>
    </row>
    <row r="58" spans="1:10" x14ac:dyDescent="0.35">
      <c r="A58" s="24">
        <v>2.2200000000000002</v>
      </c>
      <c r="B58" s="8" t="s">
        <v>101</v>
      </c>
      <c r="C58" s="5" t="s">
        <v>102</v>
      </c>
      <c r="D58" s="6" t="s">
        <v>20</v>
      </c>
      <c r="E58" s="6">
        <v>21</v>
      </c>
      <c r="F58" s="7">
        <v>0</v>
      </c>
      <c r="G58" s="6">
        <v>4</v>
      </c>
      <c r="H58" s="7">
        <f t="shared" si="0"/>
        <v>0</v>
      </c>
      <c r="I58" s="7">
        <v>0</v>
      </c>
      <c r="J58" s="23">
        <f t="shared" si="1"/>
        <v>0</v>
      </c>
    </row>
    <row r="59" spans="1:10" ht="23" x14ac:dyDescent="0.35">
      <c r="A59" s="24">
        <v>2.23</v>
      </c>
      <c r="B59" s="8" t="s">
        <v>103</v>
      </c>
      <c r="C59" s="5" t="s">
        <v>104</v>
      </c>
      <c r="D59" s="6" t="s">
        <v>20</v>
      </c>
      <c r="E59" s="6">
        <v>21</v>
      </c>
      <c r="F59" s="7">
        <v>0</v>
      </c>
      <c r="G59" s="6">
        <v>100</v>
      </c>
      <c r="H59" s="7">
        <f t="shared" si="0"/>
        <v>0</v>
      </c>
      <c r="I59" s="7">
        <v>0</v>
      </c>
      <c r="J59" s="23">
        <f t="shared" si="1"/>
        <v>0</v>
      </c>
    </row>
    <row r="60" spans="1:10" ht="23" x14ac:dyDescent="0.35">
      <c r="A60" s="24" t="s">
        <v>105</v>
      </c>
      <c r="B60" s="8" t="s">
        <v>106</v>
      </c>
      <c r="C60" s="5" t="s">
        <v>107</v>
      </c>
      <c r="D60" s="6">
        <v>12</v>
      </c>
      <c r="E60" s="6" t="s">
        <v>24</v>
      </c>
      <c r="F60" s="7">
        <v>17.25</v>
      </c>
      <c r="G60" s="6">
        <v>100</v>
      </c>
      <c r="H60" s="7">
        <f t="shared" si="0"/>
        <v>12.08</v>
      </c>
      <c r="I60" s="7">
        <v>30</v>
      </c>
      <c r="J60" s="23">
        <f t="shared" si="1"/>
        <v>1208</v>
      </c>
    </row>
    <row r="61" spans="1:10" x14ac:dyDescent="0.35">
      <c r="A61" s="24">
        <v>2.2400000000000002</v>
      </c>
      <c r="B61" s="8" t="s">
        <v>108</v>
      </c>
      <c r="C61" s="5" t="s">
        <v>109</v>
      </c>
      <c r="D61" s="6" t="s">
        <v>20</v>
      </c>
      <c r="E61" s="6">
        <v>21</v>
      </c>
      <c r="F61" s="7">
        <v>0</v>
      </c>
      <c r="G61" s="6">
        <v>50</v>
      </c>
      <c r="H61" s="7">
        <f t="shared" si="0"/>
        <v>0</v>
      </c>
      <c r="I61" s="7">
        <v>0</v>
      </c>
      <c r="J61" s="23">
        <f t="shared" si="1"/>
        <v>0</v>
      </c>
    </row>
    <row r="62" spans="1:10" ht="23" x14ac:dyDescent="0.35">
      <c r="A62" s="24">
        <v>2.25</v>
      </c>
      <c r="B62" s="8" t="s">
        <v>110</v>
      </c>
      <c r="C62" s="5" t="s">
        <v>111</v>
      </c>
      <c r="D62" s="6" t="s">
        <v>20</v>
      </c>
      <c r="E62" s="6">
        <v>21</v>
      </c>
      <c r="F62" s="7">
        <v>0</v>
      </c>
      <c r="G62" s="6">
        <v>4</v>
      </c>
      <c r="H62" s="7">
        <f t="shared" si="0"/>
        <v>0</v>
      </c>
      <c r="I62" s="7">
        <v>0</v>
      </c>
      <c r="J62" s="23">
        <f t="shared" si="1"/>
        <v>0</v>
      </c>
    </row>
    <row r="63" spans="1:10" x14ac:dyDescent="0.35">
      <c r="A63" s="24">
        <v>2.2599999999999998</v>
      </c>
      <c r="B63" s="8" t="s">
        <v>112</v>
      </c>
      <c r="C63" s="5" t="s">
        <v>113</v>
      </c>
      <c r="D63" s="6" t="s">
        <v>20</v>
      </c>
      <c r="E63" s="6">
        <v>21</v>
      </c>
      <c r="F63" s="7">
        <v>0</v>
      </c>
      <c r="G63" s="6">
        <v>1</v>
      </c>
      <c r="H63" s="7">
        <f t="shared" si="0"/>
        <v>0</v>
      </c>
      <c r="I63" s="7">
        <v>0</v>
      </c>
      <c r="J63" s="23">
        <f t="shared" si="1"/>
        <v>0</v>
      </c>
    </row>
    <row r="64" spans="1:10" ht="23" x14ac:dyDescent="0.35">
      <c r="A64" s="24">
        <v>2.27</v>
      </c>
      <c r="B64" s="8" t="s">
        <v>114</v>
      </c>
      <c r="C64" s="5" t="s">
        <v>115</v>
      </c>
      <c r="D64" s="6" t="s">
        <v>20</v>
      </c>
      <c r="E64" s="6">
        <v>21</v>
      </c>
      <c r="F64" s="7">
        <v>0</v>
      </c>
      <c r="G64" s="6">
        <v>1</v>
      </c>
      <c r="H64" s="7">
        <f t="shared" si="0"/>
        <v>0</v>
      </c>
      <c r="I64" s="7">
        <v>0</v>
      </c>
      <c r="J64" s="23">
        <f t="shared" si="1"/>
        <v>0</v>
      </c>
    </row>
    <row r="65" spans="1:10" x14ac:dyDescent="0.35">
      <c r="A65" s="24">
        <v>2.2799999999999998</v>
      </c>
      <c r="B65" s="8" t="s">
        <v>116</v>
      </c>
      <c r="C65" s="5" t="s">
        <v>117</v>
      </c>
      <c r="D65" s="6" t="s">
        <v>20</v>
      </c>
      <c r="E65" s="6">
        <v>14</v>
      </c>
      <c r="F65" s="7">
        <v>0</v>
      </c>
      <c r="G65" s="6">
        <v>1</v>
      </c>
      <c r="H65" s="7">
        <f t="shared" si="0"/>
        <v>0</v>
      </c>
      <c r="I65" s="7">
        <v>0</v>
      </c>
      <c r="J65" s="23">
        <f t="shared" si="1"/>
        <v>0</v>
      </c>
    </row>
    <row r="66" spans="1:10" ht="23" x14ac:dyDescent="0.35">
      <c r="A66" s="24">
        <v>2.29</v>
      </c>
      <c r="B66" s="8" t="s">
        <v>118</v>
      </c>
      <c r="C66" s="5" t="s">
        <v>119</v>
      </c>
      <c r="D66" s="6" t="s">
        <v>20</v>
      </c>
      <c r="E66" s="6">
        <v>14</v>
      </c>
      <c r="F66" s="7">
        <v>0</v>
      </c>
      <c r="G66" s="6">
        <v>1</v>
      </c>
      <c r="H66" s="7">
        <f t="shared" si="0"/>
        <v>0</v>
      </c>
      <c r="I66" s="7">
        <v>0</v>
      </c>
      <c r="J66" s="23">
        <f t="shared" si="1"/>
        <v>0</v>
      </c>
    </row>
    <row r="67" spans="1:10" x14ac:dyDescent="0.35">
      <c r="A67" s="24">
        <v>2.2999999999999998</v>
      </c>
      <c r="B67" s="8" t="s">
        <v>120</v>
      </c>
      <c r="C67" s="5" t="s">
        <v>121</v>
      </c>
      <c r="D67" s="6" t="s">
        <v>20</v>
      </c>
      <c r="E67" s="6">
        <v>21</v>
      </c>
      <c r="F67" s="7">
        <v>0</v>
      </c>
      <c r="G67" s="6">
        <v>1</v>
      </c>
      <c r="H67" s="7">
        <f t="shared" si="0"/>
        <v>0</v>
      </c>
      <c r="I67" s="7">
        <v>0</v>
      </c>
      <c r="J67" s="23">
        <f t="shared" si="1"/>
        <v>0</v>
      </c>
    </row>
    <row r="68" spans="1:10" ht="23" x14ac:dyDescent="0.35">
      <c r="A68" s="24">
        <v>2.31</v>
      </c>
      <c r="B68" s="8" t="s">
        <v>122</v>
      </c>
      <c r="C68" s="5" t="s">
        <v>123</v>
      </c>
      <c r="D68" s="6" t="s">
        <v>20</v>
      </c>
      <c r="E68" s="6">
        <v>21</v>
      </c>
      <c r="F68" s="7">
        <v>0</v>
      </c>
      <c r="G68" s="6">
        <v>7</v>
      </c>
      <c r="H68" s="7">
        <f t="shared" si="0"/>
        <v>0</v>
      </c>
      <c r="I68" s="7">
        <v>0</v>
      </c>
      <c r="J68" s="23">
        <f t="shared" si="1"/>
        <v>0</v>
      </c>
    </row>
    <row r="69" spans="1:10" ht="23" x14ac:dyDescent="0.35">
      <c r="A69" s="24">
        <v>2.3199999999999998</v>
      </c>
      <c r="B69" s="8" t="s">
        <v>124</v>
      </c>
      <c r="C69" s="5" t="s">
        <v>125</v>
      </c>
      <c r="D69" s="6" t="s">
        <v>20</v>
      </c>
      <c r="E69" s="6">
        <v>21</v>
      </c>
      <c r="F69" s="7">
        <v>0</v>
      </c>
      <c r="G69" s="6">
        <v>1</v>
      </c>
      <c r="H69" s="7">
        <f t="shared" si="0"/>
        <v>0</v>
      </c>
      <c r="I69" s="7">
        <v>0</v>
      </c>
      <c r="J69" s="23">
        <f t="shared" si="1"/>
        <v>0</v>
      </c>
    </row>
    <row r="70" spans="1:10" x14ac:dyDescent="0.35">
      <c r="A70" s="24">
        <v>2.33</v>
      </c>
      <c r="B70" s="8" t="s">
        <v>126</v>
      </c>
      <c r="C70" s="5" t="s">
        <v>127</v>
      </c>
      <c r="D70" s="6" t="s">
        <v>20</v>
      </c>
      <c r="E70" s="6">
        <v>21</v>
      </c>
      <c r="F70" s="7">
        <v>0</v>
      </c>
      <c r="G70" s="6">
        <v>1</v>
      </c>
      <c r="H70" s="7">
        <f t="shared" si="0"/>
        <v>0</v>
      </c>
      <c r="I70" s="7">
        <v>0</v>
      </c>
      <c r="J70" s="23">
        <f t="shared" si="1"/>
        <v>0</v>
      </c>
    </row>
    <row r="71" spans="1:10" ht="23" x14ac:dyDescent="0.35">
      <c r="A71" s="24">
        <v>2.34</v>
      </c>
      <c r="B71" s="8" t="s">
        <v>128</v>
      </c>
      <c r="C71" s="5" t="s">
        <v>129</v>
      </c>
      <c r="D71" s="6" t="s">
        <v>20</v>
      </c>
      <c r="E71" s="6">
        <v>21</v>
      </c>
      <c r="F71" s="7">
        <v>0</v>
      </c>
      <c r="G71" s="6">
        <v>1</v>
      </c>
      <c r="H71" s="7">
        <f t="shared" si="0"/>
        <v>0</v>
      </c>
      <c r="I71" s="7">
        <v>0</v>
      </c>
      <c r="J71" s="23">
        <f t="shared" si="1"/>
        <v>0</v>
      </c>
    </row>
    <row r="72" spans="1:10" x14ac:dyDescent="0.35">
      <c r="A72" s="24">
        <v>2.35</v>
      </c>
      <c r="B72" s="8" t="s">
        <v>130</v>
      </c>
      <c r="C72" s="5" t="s">
        <v>131</v>
      </c>
      <c r="D72" s="6" t="s">
        <v>20</v>
      </c>
      <c r="E72" s="6">
        <v>21</v>
      </c>
      <c r="F72" s="7">
        <v>0</v>
      </c>
      <c r="G72" s="6">
        <v>1</v>
      </c>
      <c r="H72" s="7">
        <f t="shared" si="0"/>
        <v>0</v>
      </c>
      <c r="I72" s="7">
        <v>0</v>
      </c>
      <c r="J72" s="23">
        <f t="shared" si="1"/>
        <v>0</v>
      </c>
    </row>
    <row r="73" spans="1:10" x14ac:dyDescent="0.35">
      <c r="A73" s="24">
        <v>2.36</v>
      </c>
      <c r="B73" s="8" t="s">
        <v>132</v>
      </c>
      <c r="C73" s="5" t="s">
        <v>133</v>
      </c>
      <c r="D73" s="6" t="s">
        <v>20</v>
      </c>
      <c r="E73" s="6">
        <v>21</v>
      </c>
      <c r="F73" s="7">
        <v>0</v>
      </c>
      <c r="G73" s="6">
        <v>1</v>
      </c>
      <c r="H73" s="7">
        <f t="shared" si="0"/>
        <v>0</v>
      </c>
      <c r="I73" s="7">
        <v>0</v>
      </c>
      <c r="J73" s="23">
        <f t="shared" si="1"/>
        <v>0</v>
      </c>
    </row>
    <row r="74" spans="1:10" x14ac:dyDescent="0.35">
      <c r="A74" s="24">
        <v>2.37</v>
      </c>
      <c r="B74" s="8" t="s">
        <v>134</v>
      </c>
      <c r="C74" s="5" t="s">
        <v>135</v>
      </c>
      <c r="D74" s="6" t="s">
        <v>20</v>
      </c>
      <c r="E74" s="6">
        <v>21</v>
      </c>
      <c r="F74" s="7">
        <v>0</v>
      </c>
      <c r="G74" s="6">
        <v>4</v>
      </c>
      <c r="H74" s="7">
        <f t="shared" si="0"/>
        <v>0</v>
      </c>
      <c r="I74" s="7">
        <v>0</v>
      </c>
      <c r="J74" s="23">
        <f t="shared" si="1"/>
        <v>0</v>
      </c>
    </row>
    <row r="75" spans="1:10" x14ac:dyDescent="0.35">
      <c r="A75" s="24">
        <v>2.38</v>
      </c>
      <c r="B75" s="8" t="s">
        <v>136</v>
      </c>
      <c r="C75" s="5" t="s">
        <v>137</v>
      </c>
      <c r="D75" s="6" t="s">
        <v>20</v>
      </c>
      <c r="E75" s="6">
        <v>21</v>
      </c>
      <c r="F75" s="7">
        <v>0</v>
      </c>
      <c r="G75" s="6">
        <v>2</v>
      </c>
      <c r="H75" s="7">
        <f t="shared" si="0"/>
        <v>0</v>
      </c>
      <c r="I75" s="7">
        <v>0</v>
      </c>
      <c r="J75" s="23">
        <f t="shared" si="1"/>
        <v>0</v>
      </c>
    </row>
    <row r="76" spans="1:10" x14ac:dyDescent="0.35">
      <c r="A76" s="24">
        <v>2.39</v>
      </c>
      <c r="B76" s="8" t="s">
        <v>138</v>
      </c>
      <c r="C76" s="5" t="s">
        <v>139</v>
      </c>
      <c r="D76" s="6" t="s">
        <v>20</v>
      </c>
      <c r="E76" s="6">
        <v>21</v>
      </c>
      <c r="F76" s="7">
        <v>0</v>
      </c>
      <c r="G76" s="6">
        <v>2</v>
      </c>
      <c r="H76" s="7">
        <f t="shared" si="0"/>
        <v>0</v>
      </c>
      <c r="I76" s="7">
        <v>0</v>
      </c>
      <c r="J76" s="23">
        <f t="shared" si="1"/>
        <v>0</v>
      </c>
    </row>
    <row r="77" spans="1:10" x14ac:dyDescent="0.35">
      <c r="A77" s="24">
        <v>2.4</v>
      </c>
      <c r="B77" s="8" t="s">
        <v>140</v>
      </c>
      <c r="C77" s="5" t="s">
        <v>141</v>
      </c>
      <c r="D77" s="6" t="s">
        <v>20</v>
      </c>
      <c r="E77" s="6">
        <v>21</v>
      </c>
      <c r="F77" s="7">
        <v>0</v>
      </c>
      <c r="G77" s="6">
        <v>2</v>
      </c>
      <c r="H77" s="7">
        <f t="shared" si="0"/>
        <v>0</v>
      </c>
      <c r="I77" s="7">
        <v>0</v>
      </c>
      <c r="J77" s="23">
        <f t="shared" si="1"/>
        <v>0</v>
      </c>
    </row>
    <row r="78" spans="1:10" x14ac:dyDescent="0.35">
      <c r="A78" s="24">
        <v>2.41</v>
      </c>
      <c r="B78" s="8" t="s">
        <v>142</v>
      </c>
      <c r="C78" s="5" t="s">
        <v>143</v>
      </c>
      <c r="D78" s="6" t="s">
        <v>20</v>
      </c>
      <c r="E78" s="6">
        <v>21</v>
      </c>
      <c r="F78" s="7">
        <v>0</v>
      </c>
      <c r="G78" s="6">
        <v>4</v>
      </c>
      <c r="H78" s="7">
        <f t="shared" si="0"/>
        <v>0</v>
      </c>
      <c r="I78" s="7">
        <v>0</v>
      </c>
      <c r="J78" s="23">
        <f t="shared" si="1"/>
        <v>0</v>
      </c>
    </row>
    <row r="79" spans="1:10" x14ac:dyDescent="0.35">
      <c r="A79" s="24">
        <v>2.42</v>
      </c>
      <c r="B79" s="8" t="s">
        <v>144</v>
      </c>
      <c r="C79" s="5" t="s">
        <v>145</v>
      </c>
      <c r="D79" s="6" t="s">
        <v>20</v>
      </c>
      <c r="E79" s="6">
        <v>21</v>
      </c>
      <c r="F79" s="7">
        <v>0</v>
      </c>
      <c r="G79" s="6">
        <v>4</v>
      </c>
      <c r="H79" s="7">
        <f t="shared" si="0"/>
        <v>0</v>
      </c>
      <c r="I79" s="7">
        <v>0</v>
      </c>
      <c r="J79" s="23">
        <f t="shared" si="1"/>
        <v>0</v>
      </c>
    </row>
    <row r="80" spans="1:10" x14ac:dyDescent="0.35">
      <c r="A80" s="24">
        <v>2.4300000000000002</v>
      </c>
      <c r="B80" s="8" t="s">
        <v>146</v>
      </c>
      <c r="C80" s="5" t="s">
        <v>147</v>
      </c>
      <c r="D80" s="6" t="s">
        <v>20</v>
      </c>
      <c r="E80" s="6">
        <v>21</v>
      </c>
      <c r="F80" s="7">
        <v>0</v>
      </c>
      <c r="G80" s="6">
        <v>1</v>
      </c>
      <c r="H80" s="7">
        <f t="shared" si="0"/>
        <v>0</v>
      </c>
      <c r="I80" s="7">
        <v>0</v>
      </c>
      <c r="J80" s="23">
        <f t="shared" si="1"/>
        <v>0</v>
      </c>
    </row>
    <row r="81" spans="1:10" ht="23" x14ac:dyDescent="0.35">
      <c r="A81" s="24">
        <v>2.44</v>
      </c>
      <c r="B81" s="8" t="s">
        <v>148</v>
      </c>
      <c r="C81" s="5" t="s">
        <v>149</v>
      </c>
      <c r="D81" s="6" t="s">
        <v>20</v>
      </c>
      <c r="E81" s="6">
        <v>21</v>
      </c>
      <c r="F81" s="7">
        <v>0</v>
      </c>
      <c r="G81" s="6">
        <v>1</v>
      </c>
      <c r="H81" s="7">
        <f t="shared" si="0"/>
        <v>0</v>
      </c>
      <c r="I81" s="7">
        <v>0</v>
      </c>
      <c r="J81" s="23">
        <f t="shared" si="1"/>
        <v>0</v>
      </c>
    </row>
    <row r="82" spans="1:10" x14ac:dyDescent="0.35">
      <c r="A82" s="24">
        <v>2.4500000000000002</v>
      </c>
      <c r="B82" s="8" t="s">
        <v>150</v>
      </c>
      <c r="C82" s="5" t="s">
        <v>151</v>
      </c>
      <c r="D82" s="6" t="s">
        <v>20</v>
      </c>
      <c r="E82" s="6">
        <v>2</v>
      </c>
      <c r="F82" s="7">
        <v>0</v>
      </c>
      <c r="G82" s="6">
        <v>1</v>
      </c>
      <c r="H82" s="7">
        <f t="shared" si="0"/>
        <v>0</v>
      </c>
      <c r="I82" s="7">
        <v>0</v>
      </c>
      <c r="J82" s="23">
        <f t="shared" si="1"/>
        <v>0</v>
      </c>
    </row>
    <row r="83" spans="1:10" ht="23" x14ac:dyDescent="0.35">
      <c r="A83" s="24">
        <v>2.46</v>
      </c>
      <c r="B83" s="8" t="s">
        <v>152</v>
      </c>
      <c r="C83" s="5" t="s">
        <v>153</v>
      </c>
      <c r="D83" s="6" t="s">
        <v>20</v>
      </c>
      <c r="E83" s="6">
        <v>2</v>
      </c>
      <c r="F83" s="7">
        <v>0</v>
      </c>
      <c r="G83" s="6">
        <v>1</v>
      </c>
      <c r="H83" s="7">
        <f t="shared" si="0"/>
        <v>0</v>
      </c>
      <c r="I83" s="7">
        <v>0</v>
      </c>
      <c r="J83" s="23">
        <f t="shared" si="1"/>
        <v>0</v>
      </c>
    </row>
    <row r="84" spans="1:10" x14ac:dyDescent="0.35">
      <c r="A84" s="24">
        <v>2.4700000000000002</v>
      </c>
      <c r="B84" s="8" t="s">
        <v>154</v>
      </c>
      <c r="C84" s="5" t="s">
        <v>155</v>
      </c>
      <c r="D84" s="6" t="s">
        <v>20</v>
      </c>
      <c r="E84" s="6">
        <v>21</v>
      </c>
      <c r="F84" s="7">
        <v>0</v>
      </c>
      <c r="G84" s="6">
        <v>50</v>
      </c>
      <c r="H84" s="7">
        <f t="shared" ref="H84:H122" si="2">ROUND(F84-((F84*I84)/100),2)</f>
        <v>0</v>
      </c>
      <c r="I84" s="7">
        <v>0</v>
      </c>
      <c r="J84" s="23">
        <f t="shared" ref="J84:J122" si="3">ROUND((G84*H84),2)</f>
        <v>0</v>
      </c>
    </row>
    <row r="85" spans="1:10" ht="23" x14ac:dyDescent="0.35">
      <c r="A85" s="24">
        <v>2.48</v>
      </c>
      <c r="B85" s="8" t="s">
        <v>156</v>
      </c>
      <c r="C85" s="5" t="s">
        <v>157</v>
      </c>
      <c r="D85" s="6" t="s">
        <v>20</v>
      </c>
      <c r="E85" s="6">
        <v>21</v>
      </c>
      <c r="F85" s="7">
        <v>0</v>
      </c>
      <c r="G85" s="6">
        <v>2</v>
      </c>
      <c r="H85" s="7">
        <f t="shared" si="2"/>
        <v>0</v>
      </c>
      <c r="I85" s="7">
        <v>0</v>
      </c>
      <c r="J85" s="23">
        <f t="shared" si="3"/>
        <v>0</v>
      </c>
    </row>
    <row r="86" spans="1:10" ht="23" x14ac:dyDescent="0.35">
      <c r="A86" s="24">
        <v>2.4900000000000002</v>
      </c>
      <c r="B86" s="8" t="s">
        <v>158</v>
      </c>
      <c r="C86" s="5" t="s">
        <v>159</v>
      </c>
      <c r="D86" s="6" t="s">
        <v>20</v>
      </c>
      <c r="E86" s="6">
        <v>21</v>
      </c>
      <c r="F86" s="7">
        <v>0</v>
      </c>
      <c r="G86" s="6">
        <v>1</v>
      </c>
      <c r="H86" s="7">
        <f t="shared" si="2"/>
        <v>0</v>
      </c>
      <c r="I86" s="7">
        <v>0</v>
      </c>
      <c r="J86" s="23">
        <f t="shared" si="3"/>
        <v>0</v>
      </c>
    </row>
    <row r="87" spans="1:10" ht="23" x14ac:dyDescent="0.35">
      <c r="A87" s="24">
        <v>2.5</v>
      </c>
      <c r="B87" s="8" t="s">
        <v>160</v>
      </c>
      <c r="C87" s="5" t="s">
        <v>161</v>
      </c>
      <c r="D87" s="6" t="s">
        <v>20</v>
      </c>
      <c r="E87" s="6">
        <v>21</v>
      </c>
      <c r="F87" s="7">
        <v>0</v>
      </c>
      <c r="G87" s="6">
        <v>1</v>
      </c>
      <c r="H87" s="7">
        <f t="shared" si="2"/>
        <v>0</v>
      </c>
      <c r="I87" s="7">
        <v>0</v>
      </c>
      <c r="J87" s="23">
        <f t="shared" si="3"/>
        <v>0</v>
      </c>
    </row>
    <row r="88" spans="1:10" ht="23" x14ac:dyDescent="0.35">
      <c r="A88" s="24">
        <v>2.5099999999999998</v>
      </c>
      <c r="B88" s="8" t="s">
        <v>162</v>
      </c>
      <c r="C88" s="5" t="s">
        <v>163</v>
      </c>
      <c r="D88" s="6" t="s">
        <v>20</v>
      </c>
      <c r="E88" s="6">
        <v>21</v>
      </c>
      <c r="F88" s="7">
        <v>0</v>
      </c>
      <c r="G88" s="6">
        <v>2</v>
      </c>
      <c r="H88" s="7">
        <f t="shared" si="2"/>
        <v>0</v>
      </c>
      <c r="I88" s="7">
        <v>0</v>
      </c>
      <c r="J88" s="23">
        <f t="shared" si="3"/>
        <v>0</v>
      </c>
    </row>
    <row r="89" spans="1:10" ht="23" x14ac:dyDescent="0.35">
      <c r="A89" s="24">
        <v>2.52</v>
      </c>
      <c r="B89" s="8" t="s">
        <v>164</v>
      </c>
      <c r="C89" s="5" t="s">
        <v>165</v>
      </c>
      <c r="D89" s="6" t="s">
        <v>20</v>
      </c>
      <c r="E89" s="6">
        <v>21</v>
      </c>
      <c r="F89" s="7">
        <v>0</v>
      </c>
      <c r="G89" s="6">
        <v>4</v>
      </c>
      <c r="H89" s="7">
        <f t="shared" si="2"/>
        <v>0</v>
      </c>
      <c r="I89" s="7">
        <v>0</v>
      </c>
      <c r="J89" s="23">
        <f t="shared" si="3"/>
        <v>0</v>
      </c>
    </row>
    <row r="90" spans="1:10" x14ac:dyDescent="0.35">
      <c r="A90" s="24">
        <v>2.5299999999999998</v>
      </c>
      <c r="B90" s="8" t="s">
        <v>166</v>
      </c>
      <c r="C90" s="5" t="s">
        <v>167</v>
      </c>
      <c r="D90" s="6" t="s">
        <v>20</v>
      </c>
      <c r="E90" s="6">
        <v>21</v>
      </c>
      <c r="F90" s="7">
        <v>0</v>
      </c>
      <c r="G90" s="6">
        <v>350</v>
      </c>
      <c r="H90" s="7">
        <f t="shared" si="2"/>
        <v>0</v>
      </c>
      <c r="I90" s="7">
        <v>0</v>
      </c>
      <c r="J90" s="23">
        <f t="shared" si="3"/>
        <v>0</v>
      </c>
    </row>
    <row r="91" spans="1:10" x14ac:dyDescent="0.35">
      <c r="A91" s="24">
        <v>2.54</v>
      </c>
      <c r="B91" s="8" t="s">
        <v>168</v>
      </c>
      <c r="C91" s="5" t="s">
        <v>169</v>
      </c>
      <c r="D91" s="6" t="s">
        <v>20</v>
      </c>
      <c r="E91" s="6">
        <v>21</v>
      </c>
      <c r="F91" s="7">
        <v>995</v>
      </c>
      <c r="G91" s="6">
        <v>1</v>
      </c>
      <c r="H91" s="7">
        <f t="shared" si="2"/>
        <v>636.79999999999995</v>
      </c>
      <c r="I91" s="7">
        <v>36</v>
      </c>
      <c r="J91" s="23">
        <f t="shared" si="3"/>
        <v>636.79999999999995</v>
      </c>
    </row>
    <row r="92" spans="1:10" x14ac:dyDescent="0.35">
      <c r="A92" s="22">
        <v>3</v>
      </c>
      <c r="B92" s="4" t="s">
        <v>170</v>
      </c>
      <c r="C92" s="5" t="s">
        <v>171</v>
      </c>
      <c r="D92" s="6" t="s">
        <v>20</v>
      </c>
      <c r="E92" s="6">
        <v>21</v>
      </c>
      <c r="F92" s="7">
        <v>575</v>
      </c>
      <c r="G92" s="6">
        <v>50</v>
      </c>
      <c r="H92" s="7">
        <f t="shared" si="2"/>
        <v>368</v>
      </c>
      <c r="I92" s="7">
        <v>36</v>
      </c>
      <c r="J92" s="23">
        <f t="shared" si="3"/>
        <v>18400</v>
      </c>
    </row>
    <row r="93" spans="1:10" x14ac:dyDescent="0.35">
      <c r="A93" s="24" t="s">
        <v>172</v>
      </c>
      <c r="B93" s="8" t="s">
        <v>173</v>
      </c>
      <c r="C93" s="5" t="s">
        <v>174</v>
      </c>
      <c r="D93" s="6">
        <v>12</v>
      </c>
      <c r="E93" s="6" t="s">
        <v>24</v>
      </c>
      <c r="F93" s="7">
        <v>20.7</v>
      </c>
      <c r="G93" s="6">
        <v>50</v>
      </c>
      <c r="H93" s="7">
        <f t="shared" si="2"/>
        <v>14.49</v>
      </c>
      <c r="I93" s="7">
        <v>30</v>
      </c>
      <c r="J93" s="23">
        <f t="shared" si="3"/>
        <v>724.5</v>
      </c>
    </row>
    <row r="94" spans="1:10" x14ac:dyDescent="0.35">
      <c r="A94" s="22">
        <v>4</v>
      </c>
      <c r="B94" s="4" t="s">
        <v>175</v>
      </c>
      <c r="C94" s="5" t="s">
        <v>176</v>
      </c>
      <c r="D94" s="6" t="s">
        <v>20</v>
      </c>
      <c r="E94" s="6">
        <v>14</v>
      </c>
      <c r="F94" s="7">
        <v>255</v>
      </c>
      <c r="G94" s="6">
        <v>100</v>
      </c>
      <c r="H94" s="7">
        <f t="shared" si="2"/>
        <v>163.19999999999999</v>
      </c>
      <c r="I94" s="7">
        <v>36</v>
      </c>
      <c r="J94" s="23">
        <f t="shared" si="3"/>
        <v>16320</v>
      </c>
    </row>
    <row r="95" spans="1:10" x14ac:dyDescent="0.35">
      <c r="A95" s="24" t="s">
        <v>177</v>
      </c>
      <c r="B95" s="8" t="s">
        <v>178</v>
      </c>
      <c r="C95" s="5" t="s">
        <v>179</v>
      </c>
      <c r="D95" s="6">
        <v>12</v>
      </c>
      <c r="E95" s="6" t="s">
        <v>24</v>
      </c>
      <c r="F95" s="7">
        <v>11.5</v>
      </c>
      <c r="G95" s="6">
        <v>100</v>
      </c>
      <c r="H95" s="7">
        <f t="shared" si="2"/>
        <v>8.0500000000000007</v>
      </c>
      <c r="I95" s="7">
        <v>30</v>
      </c>
      <c r="J95" s="23">
        <f t="shared" si="3"/>
        <v>805</v>
      </c>
    </row>
    <row r="96" spans="1:10" x14ac:dyDescent="0.35">
      <c r="A96" s="22">
        <v>5</v>
      </c>
      <c r="B96" s="4" t="s">
        <v>180</v>
      </c>
      <c r="C96" s="5" t="s">
        <v>181</v>
      </c>
      <c r="D96" s="6" t="s">
        <v>20</v>
      </c>
      <c r="E96" s="6">
        <v>21</v>
      </c>
      <c r="F96" s="7">
        <v>0</v>
      </c>
      <c r="G96" s="6">
        <v>1</v>
      </c>
      <c r="H96" s="7">
        <f t="shared" si="2"/>
        <v>0</v>
      </c>
      <c r="I96" s="7">
        <v>0</v>
      </c>
      <c r="J96" s="23">
        <f t="shared" si="3"/>
        <v>0</v>
      </c>
    </row>
    <row r="97" spans="1:10" ht="23" x14ac:dyDescent="0.35">
      <c r="A97" s="24" t="s">
        <v>182</v>
      </c>
      <c r="B97" s="8" t="s">
        <v>183</v>
      </c>
      <c r="C97" s="5" t="s">
        <v>184</v>
      </c>
      <c r="D97" s="6">
        <v>12</v>
      </c>
      <c r="E97" s="6" t="s">
        <v>24</v>
      </c>
      <c r="F97" s="7">
        <v>0</v>
      </c>
      <c r="G97" s="6">
        <v>1</v>
      </c>
      <c r="H97" s="7">
        <f t="shared" si="2"/>
        <v>0</v>
      </c>
      <c r="I97" s="7">
        <v>30</v>
      </c>
      <c r="J97" s="23">
        <f t="shared" si="3"/>
        <v>0</v>
      </c>
    </row>
    <row r="98" spans="1:10" ht="23" x14ac:dyDescent="0.35">
      <c r="A98" s="24">
        <v>5.0999999999999996</v>
      </c>
      <c r="B98" s="8" t="s">
        <v>185</v>
      </c>
      <c r="C98" s="5" t="s">
        <v>186</v>
      </c>
      <c r="D98" s="6" t="s">
        <v>20</v>
      </c>
      <c r="E98" s="6">
        <v>21</v>
      </c>
      <c r="F98" s="7">
        <v>995</v>
      </c>
      <c r="G98" s="6">
        <v>1</v>
      </c>
      <c r="H98" s="7">
        <f t="shared" si="2"/>
        <v>636.79999999999995</v>
      </c>
      <c r="I98" s="7">
        <v>36</v>
      </c>
      <c r="J98" s="23">
        <f t="shared" si="3"/>
        <v>636.79999999999995</v>
      </c>
    </row>
    <row r="99" spans="1:10" ht="23" x14ac:dyDescent="0.35">
      <c r="A99" s="24" t="s">
        <v>187</v>
      </c>
      <c r="B99" s="8" t="s">
        <v>188</v>
      </c>
      <c r="C99" s="5" t="s">
        <v>189</v>
      </c>
      <c r="D99" s="6">
        <v>12</v>
      </c>
      <c r="E99" s="6" t="s">
        <v>24</v>
      </c>
      <c r="F99" s="7">
        <v>228.85</v>
      </c>
      <c r="G99" s="6">
        <v>1</v>
      </c>
      <c r="H99" s="7">
        <f t="shared" si="2"/>
        <v>160.19999999999999</v>
      </c>
      <c r="I99" s="7">
        <v>30</v>
      </c>
      <c r="J99" s="23">
        <f t="shared" si="3"/>
        <v>160.19999999999999</v>
      </c>
    </row>
    <row r="100" spans="1:10" ht="23" x14ac:dyDescent="0.35">
      <c r="A100" s="22">
        <v>6</v>
      </c>
      <c r="B100" s="4" t="s">
        <v>190</v>
      </c>
      <c r="C100" s="5" t="s">
        <v>191</v>
      </c>
      <c r="D100" s="6" t="s">
        <v>20</v>
      </c>
      <c r="E100" s="6">
        <v>14</v>
      </c>
      <c r="F100" s="7">
        <v>3895</v>
      </c>
      <c r="G100" s="6">
        <v>1</v>
      </c>
      <c r="H100" s="7">
        <f t="shared" si="2"/>
        <v>2492.8000000000002</v>
      </c>
      <c r="I100" s="7">
        <v>36</v>
      </c>
      <c r="J100" s="23">
        <f t="shared" si="3"/>
        <v>2492.8000000000002</v>
      </c>
    </row>
    <row r="101" spans="1:10" ht="23" x14ac:dyDescent="0.35">
      <c r="A101" s="24" t="s">
        <v>192</v>
      </c>
      <c r="B101" s="8" t="s">
        <v>193</v>
      </c>
      <c r="C101" s="5" t="s">
        <v>194</v>
      </c>
      <c r="D101" s="6">
        <v>12</v>
      </c>
      <c r="E101" s="6" t="s">
        <v>24</v>
      </c>
      <c r="F101" s="7">
        <v>520.95000000000005</v>
      </c>
      <c r="G101" s="6">
        <v>1</v>
      </c>
      <c r="H101" s="7">
        <f t="shared" si="2"/>
        <v>364.67</v>
      </c>
      <c r="I101" s="7">
        <v>30</v>
      </c>
      <c r="J101" s="23">
        <f t="shared" si="3"/>
        <v>364.67</v>
      </c>
    </row>
    <row r="102" spans="1:10" x14ac:dyDescent="0.35">
      <c r="A102" s="24">
        <v>6.1</v>
      </c>
      <c r="B102" s="8" t="s">
        <v>195</v>
      </c>
      <c r="C102" s="5" t="s">
        <v>196</v>
      </c>
      <c r="D102" s="6" t="s">
        <v>20</v>
      </c>
      <c r="E102" s="6">
        <v>17</v>
      </c>
      <c r="F102" s="7">
        <v>0</v>
      </c>
      <c r="G102" s="6">
        <v>1</v>
      </c>
      <c r="H102" s="7">
        <f t="shared" si="2"/>
        <v>0</v>
      </c>
      <c r="I102" s="7">
        <v>0</v>
      </c>
      <c r="J102" s="23">
        <f t="shared" si="3"/>
        <v>0</v>
      </c>
    </row>
    <row r="103" spans="1:10" ht="23" x14ac:dyDescent="0.35">
      <c r="A103" s="24">
        <v>6.2</v>
      </c>
      <c r="B103" s="8" t="s">
        <v>197</v>
      </c>
      <c r="C103" s="5" t="s">
        <v>198</v>
      </c>
      <c r="D103" s="6" t="s">
        <v>20</v>
      </c>
      <c r="E103" s="6">
        <v>14</v>
      </c>
      <c r="F103" s="7">
        <v>0</v>
      </c>
      <c r="G103" s="6">
        <v>1</v>
      </c>
      <c r="H103" s="7">
        <f t="shared" si="2"/>
        <v>0</v>
      </c>
      <c r="I103" s="7">
        <v>0</v>
      </c>
      <c r="J103" s="23">
        <f t="shared" si="3"/>
        <v>0</v>
      </c>
    </row>
    <row r="104" spans="1:10" ht="23" x14ac:dyDescent="0.35">
      <c r="A104" s="24">
        <v>6.3</v>
      </c>
      <c r="B104" s="8" t="s">
        <v>199</v>
      </c>
      <c r="C104" s="5" t="s">
        <v>200</v>
      </c>
      <c r="D104" s="6" t="s">
        <v>20</v>
      </c>
      <c r="E104" s="6">
        <v>21</v>
      </c>
      <c r="F104" s="7">
        <v>0</v>
      </c>
      <c r="G104" s="6">
        <v>2</v>
      </c>
      <c r="H104" s="7">
        <f t="shared" si="2"/>
        <v>0</v>
      </c>
      <c r="I104" s="7">
        <v>0</v>
      </c>
      <c r="J104" s="23">
        <f t="shared" si="3"/>
        <v>0</v>
      </c>
    </row>
    <row r="105" spans="1:10" x14ac:dyDescent="0.35">
      <c r="A105" s="24">
        <v>6.4</v>
      </c>
      <c r="B105" s="8" t="s">
        <v>201</v>
      </c>
      <c r="C105" s="5" t="s">
        <v>202</v>
      </c>
      <c r="D105" s="6" t="s">
        <v>20</v>
      </c>
      <c r="E105" s="6">
        <v>14</v>
      </c>
      <c r="F105" s="7">
        <v>0</v>
      </c>
      <c r="G105" s="6">
        <v>1</v>
      </c>
      <c r="H105" s="7">
        <f t="shared" si="2"/>
        <v>0</v>
      </c>
      <c r="I105" s="7">
        <v>0</v>
      </c>
      <c r="J105" s="23">
        <f t="shared" si="3"/>
        <v>0</v>
      </c>
    </row>
    <row r="106" spans="1:10" ht="23" x14ac:dyDescent="0.35">
      <c r="A106" s="24">
        <v>6.5</v>
      </c>
      <c r="B106" s="8" t="s">
        <v>203</v>
      </c>
      <c r="C106" s="5" t="s">
        <v>204</v>
      </c>
      <c r="D106" s="6" t="s">
        <v>20</v>
      </c>
      <c r="E106" s="6">
        <v>21</v>
      </c>
      <c r="F106" s="7">
        <v>0</v>
      </c>
      <c r="G106" s="6">
        <v>1</v>
      </c>
      <c r="H106" s="7">
        <f t="shared" si="2"/>
        <v>0</v>
      </c>
      <c r="I106" s="7">
        <v>0</v>
      </c>
      <c r="J106" s="23">
        <f t="shared" si="3"/>
        <v>0</v>
      </c>
    </row>
    <row r="107" spans="1:10" ht="23" x14ac:dyDescent="0.35">
      <c r="A107" s="24">
        <v>6.6</v>
      </c>
      <c r="B107" s="8" t="s">
        <v>205</v>
      </c>
      <c r="C107" s="5" t="s">
        <v>206</v>
      </c>
      <c r="D107" s="6" t="s">
        <v>20</v>
      </c>
      <c r="E107" s="6">
        <v>14</v>
      </c>
      <c r="F107" s="7">
        <v>0</v>
      </c>
      <c r="G107" s="6">
        <v>1</v>
      </c>
      <c r="H107" s="7">
        <f t="shared" si="2"/>
        <v>0</v>
      </c>
      <c r="I107" s="7">
        <v>0</v>
      </c>
      <c r="J107" s="23">
        <f t="shared" si="3"/>
        <v>0</v>
      </c>
    </row>
    <row r="108" spans="1:10" ht="23" x14ac:dyDescent="0.35">
      <c r="A108" s="24">
        <v>6.7</v>
      </c>
      <c r="B108" s="8" t="s">
        <v>207</v>
      </c>
      <c r="C108" s="5" t="s">
        <v>208</v>
      </c>
      <c r="D108" s="6" t="s">
        <v>20</v>
      </c>
      <c r="E108" s="6">
        <v>14</v>
      </c>
      <c r="F108" s="7">
        <v>0</v>
      </c>
      <c r="G108" s="6">
        <v>1</v>
      </c>
      <c r="H108" s="7">
        <f t="shared" si="2"/>
        <v>0</v>
      </c>
      <c r="I108" s="7">
        <v>0</v>
      </c>
      <c r="J108" s="23">
        <f t="shared" si="3"/>
        <v>0</v>
      </c>
    </row>
    <row r="109" spans="1:10" ht="23" x14ac:dyDescent="0.35">
      <c r="A109" s="24">
        <v>6.8</v>
      </c>
      <c r="B109" s="8" t="s">
        <v>209</v>
      </c>
      <c r="C109" s="5" t="s">
        <v>210</v>
      </c>
      <c r="D109" s="6" t="s">
        <v>20</v>
      </c>
      <c r="E109" s="6">
        <v>14</v>
      </c>
      <c r="F109" s="7">
        <v>0</v>
      </c>
      <c r="G109" s="6">
        <v>1</v>
      </c>
      <c r="H109" s="7">
        <f t="shared" si="2"/>
        <v>0</v>
      </c>
      <c r="I109" s="7">
        <v>0</v>
      </c>
      <c r="J109" s="23">
        <f t="shared" si="3"/>
        <v>0</v>
      </c>
    </row>
    <row r="110" spans="1:10" ht="23" x14ac:dyDescent="0.35">
      <c r="A110" s="24">
        <v>6.9</v>
      </c>
      <c r="B110" s="8" t="s">
        <v>211</v>
      </c>
      <c r="C110" s="5" t="s">
        <v>212</v>
      </c>
      <c r="D110" s="6" t="s">
        <v>20</v>
      </c>
      <c r="E110" s="6">
        <v>14</v>
      </c>
      <c r="F110" s="7">
        <v>0</v>
      </c>
      <c r="G110" s="6">
        <v>2</v>
      </c>
      <c r="H110" s="7">
        <f t="shared" si="2"/>
        <v>0</v>
      </c>
      <c r="I110" s="7">
        <v>0</v>
      </c>
      <c r="J110" s="23">
        <f t="shared" si="3"/>
        <v>0</v>
      </c>
    </row>
    <row r="111" spans="1:10" x14ac:dyDescent="0.35">
      <c r="A111" s="24">
        <v>6.1</v>
      </c>
      <c r="B111" s="8" t="s">
        <v>213</v>
      </c>
      <c r="C111" s="5" t="s">
        <v>214</v>
      </c>
      <c r="D111" s="6" t="s">
        <v>20</v>
      </c>
      <c r="E111" s="6">
        <v>14</v>
      </c>
      <c r="F111" s="7">
        <v>0</v>
      </c>
      <c r="G111" s="6">
        <v>1</v>
      </c>
      <c r="H111" s="7">
        <f t="shared" si="2"/>
        <v>0</v>
      </c>
      <c r="I111" s="7">
        <v>0</v>
      </c>
      <c r="J111" s="23">
        <f t="shared" si="3"/>
        <v>0</v>
      </c>
    </row>
    <row r="112" spans="1:10" ht="23" x14ac:dyDescent="0.35">
      <c r="A112" s="24">
        <v>6.11</v>
      </c>
      <c r="B112" s="8" t="s">
        <v>215</v>
      </c>
      <c r="C112" s="5" t="s">
        <v>216</v>
      </c>
      <c r="D112" s="6" t="s">
        <v>20</v>
      </c>
      <c r="E112" s="6">
        <v>14</v>
      </c>
      <c r="F112" s="7">
        <v>1430</v>
      </c>
      <c r="G112" s="6">
        <v>1</v>
      </c>
      <c r="H112" s="7">
        <f t="shared" si="2"/>
        <v>915.2</v>
      </c>
      <c r="I112" s="7">
        <v>36</v>
      </c>
      <c r="J112" s="23">
        <f t="shared" si="3"/>
        <v>915.2</v>
      </c>
    </row>
    <row r="113" spans="1:10" ht="23" x14ac:dyDescent="0.35">
      <c r="A113" s="24">
        <v>6.12</v>
      </c>
      <c r="B113" s="8" t="s">
        <v>217</v>
      </c>
      <c r="C113" s="5" t="s">
        <v>218</v>
      </c>
      <c r="D113" s="6" t="s">
        <v>20</v>
      </c>
      <c r="E113" s="6">
        <v>14</v>
      </c>
      <c r="F113" s="7">
        <v>880</v>
      </c>
      <c r="G113" s="6">
        <v>1</v>
      </c>
      <c r="H113" s="7">
        <f t="shared" si="2"/>
        <v>563.20000000000005</v>
      </c>
      <c r="I113" s="7">
        <v>36</v>
      </c>
      <c r="J113" s="23">
        <f t="shared" si="3"/>
        <v>563.20000000000005</v>
      </c>
    </row>
    <row r="114" spans="1:10" ht="23" x14ac:dyDescent="0.35">
      <c r="A114" s="24">
        <v>6.13</v>
      </c>
      <c r="B114" s="8" t="s">
        <v>219</v>
      </c>
      <c r="C114" s="5" t="s">
        <v>220</v>
      </c>
      <c r="D114" s="6" t="s">
        <v>20</v>
      </c>
      <c r="E114" s="6">
        <v>14</v>
      </c>
      <c r="F114" s="7">
        <v>250</v>
      </c>
      <c r="G114" s="6">
        <v>1</v>
      </c>
      <c r="H114" s="7">
        <f t="shared" si="2"/>
        <v>160</v>
      </c>
      <c r="I114" s="7">
        <v>36</v>
      </c>
      <c r="J114" s="23">
        <f t="shared" si="3"/>
        <v>160</v>
      </c>
    </row>
    <row r="115" spans="1:10" ht="23" x14ac:dyDescent="0.35">
      <c r="A115" s="24">
        <v>6.14</v>
      </c>
      <c r="B115" s="8" t="s">
        <v>221</v>
      </c>
      <c r="C115" s="5" t="s">
        <v>222</v>
      </c>
      <c r="D115" s="6" t="s">
        <v>20</v>
      </c>
      <c r="E115" s="6">
        <v>14</v>
      </c>
      <c r="F115" s="7">
        <v>1540</v>
      </c>
      <c r="G115" s="6">
        <v>1</v>
      </c>
      <c r="H115" s="7">
        <f t="shared" si="2"/>
        <v>985.6</v>
      </c>
      <c r="I115" s="7">
        <v>36</v>
      </c>
      <c r="J115" s="23">
        <f t="shared" si="3"/>
        <v>985.6</v>
      </c>
    </row>
    <row r="116" spans="1:10" x14ac:dyDescent="0.35">
      <c r="A116" s="24">
        <v>6.15</v>
      </c>
      <c r="B116" s="8" t="s">
        <v>223</v>
      </c>
      <c r="C116" s="5" t="s">
        <v>224</v>
      </c>
      <c r="D116" s="6" t="s">
        <v>20</v>
      </c>
      <c r="E116" s="6">
        <v>14</v>
      </c>
      <c r="F116" s="7">
        <v>1320</v>
      </c>
      <c r="G116" s="6">
        <v>2</v>
      </c>
      <c r="H116" s="7">
        <f t="shared" si="2"/>
        <v>844.8</v>
      </c>
      <c r="I116" s="7">
        <v>36</v>
      </c>
      <c r="J116" s="23">
        <f t="shared" si="3"/>
        <v>1689.6</v>
      </c>
    </row>
    <row r="117" spans="1:10" ht="23" x14ac:dyDescent="0.35">
      <c r="A117" s="24">
        <v>6.16</v>
      </c>
      <c r="B117" s="8" t="s">
        <v>225</v>
      </c>
      <c r="C117" s="5" t="s">
        <v>226</v>
      </c>
      <c r="D117" s="6" t="s">
        <v>20</v>
      </c>
      <c r="E117" s="6">
        <v>14</v>
      </c>
      <c r="F117" s="7">
        <v>3200</v>
      </c>
      <c r="G117" s="6">
        <v>1</v>
      </c>
      <c r="H117" s="7">
        <f t="shared" si="2"/>
        <v>2048</v>
      </c>
      <c r="I117" s="7">
        <v>36</v>
      </c>
      <c r="J117" s="23">
        <f t="shared" si="3"/>
        <v>2048</v>
      </c>
    </row>
    <row r="118" spans="1:10" ht="23" x14ac:dyDescent="0.35">
      <c r="A118" s="24">
        <v>6.17</v>
      </c>
      <c r="B118" s="8" t="s">
        <v>227</v>
      </c>
      <c r="C118" s="5" t="s">
        <v>228</v>
      </c>
      <c r="D118" s="6" t="s">
        <v>20</v>
      </c>
      <c r="E118" s="6">
        <v>14</v>
      </c>
      <c r="F118" s="7">
        <v>750</v>
      </c>
      <c r="G118" s="6">
        <v>1</v>
      </c>
      <c r="H118" s="7">
        <f t="shared" si="2"/>
        <v>480</v>
      </c>
      <c r="I118" s="7">
        <v>36</v>
      </c>
      <c r="J118" s="23">
        <f t="shared" si="3"/>
        <v>480</v>
      </c>
    </row>
    <row r="119" spans="1:10" ht="23" x14ac:dyDescent="0.35">
      <c r="A119" s="22">
        <v>7</v>
      </c>
      <c r="B119" s="4" t="s">
        <v>229</v>
      </c>
      <c r="C119" s="5" t="s">
        <v>230</v>
      </c>
      <c r="D119" s="6" t="s">
        <v>20</v>
      </c>
      <c r="E119" s="6">
        <v>8</v>
      </c>
      <c r="F119" s="7">
        <v>3195</v>
      </c>
      <c r="G119" s="6">
        <v>3</v>
      </c>
      <c r="H119" s="7">
        <f t="shared" si="2"/>
        <v>2044.8</v>
      </c>
      <c r="I119" s="7">
        <v>36</v>
      </c>
      <c r="J119" s="23">
        <f t="shared" si="3"/>
        <v>6134.4</v>
      </c>
    </row>
    <row r="120" spans="1:10" x14ac:dyDescent="0.35">
      <c r="A120" s="24" t="s">
        <v>231</v>
      </c>
      <c r="B120" s="8" t="s">
        <v>232</v>
      </c>
      <c r="C120" s="5" t="s">
        <v>233</v>
      </c>
      <c r="D120" s="6">
        <v>12</v>
      </c>
      <c r="E120" s="6" t="s">
        <v>24</v>
      </c>
      <c r="F120" s="7">
        <v>231.15</v>
      </c>
      <c r="G120" s="6">
        <v>3</v>
      </c>
      <c r="H120" s="7">
        <f t="shared" si="2"/>
        <v>161.81</v>
      </c>
      <c r="I120" s="7">
        <v>30</v>
      </c>
      <c r="J120" s="23">
        <f t="shared" si="3"/>
        <v>485.43</v>
      </c>
    </row>
    <row r="121" spans="1:10" ht="23" x14ac:dyDescent="0.35">
      <c r="A121" s="24">
        <v>7.1</v>
      </c>
      <c r="B121" s="8" t="s">
        <v>197</v>
      </c>
      <c r="C121" s="5" t="s">
        <v>198</v>
      </c>
      <c r="D121" s="6" t="s">
        <v>20</v>
      </c>
      <c r="E121" s="6">
        <v>14</v>
      </c>
      <c r="F121" s="7">
        <v>0</v>
      </c>
      <c r="G121" s="6">
        <v>3</v>
      </c>
      <c r="H121" s="7">
        <f t="shared" si="2"/>
        <v>0</v>
      </c>
      <c r="I121" s="7">
        <v>0</v>
      </c>
      <c r="J121" s="23">
        <f t="shared" si="3"/>
        <v>0</v>
      </c>
    </row>
    <row r="122" spans="1:10" ht="23" x14ac:dyDescent="0.35">
      <c r="A122" s="24">
        <v>7.2</v>
      </c>
      <c r="B122" s="8" t="s">
        <v>234</v>
      </c>
      <c r="C122" s="5" t="s">
        <v>235</v>
      </c>
      <c r="D122" s="6" t="s">
        <v>20</v>
      </c>
      <c r="E122" s="6">
        <v>14</v>
      </c>
      <c r="F122" s="7">
        <v>0</v>
      </c>
      <c r="G122" s="6">
        <v>3</v>
      </c>
      <c r="H122" s="7">
        <f t="shared" si="2"/>
        <v>0</v>
      </c>
      <c r="I122" s="7">
        <v>0</v>
      </c>
      <c r="J122" s="23">
        <f t="shared" si="3"/>
        <v>0</v>
      </c>
    </row>
    <row r="123" spans="1:10" ht="15" thickBot="1" x14ac:dyDescent="0.4">
      <c r="A123" s="25" t="s">
        <v>236</v>
      </c>
      <c r="B123" s="9" t="s">
        <v>236</v>
      </c>
      <c r="C123" s="9" t="s">
        <v>236</v>
      </c>
      <c r="D123" s="9" t="s">
        <v>236</v>
      </c>
      <c r="E123" s="9" t="s">
        <v>236</v>
      </c>
      <c r="F123" s="9" t="s">
        <v>236</v>
      </c>
      <c r="G123" s="9" t="s">
        <v>236</v>
      </c>
      <c r="H123" s="14" t="s">
        <v>236</v>
      </c>
      <c r="I123" s="14" t="s">
        <v>236</v>
      </c>
      <c r="J123" s="15" t="s">
        <v>236</v>
      </c>
    </row>
    <row r="124" spans="1:10" x14ac:dyDescent="0.35">
      <c r="A124" s="13"/>
      <c r="B124" s="14"/>
      <c r="C124" s="14"/>
      <c r="D124" s="14"/>
      <c r="E124" s="14"/>
      <c r="F124" s="14"/>
      <c r="G124" s="14"/>
      <c r="H124" s="10"/>
      <c r="I124" s="11"/>
      <c r="J124" s="12"/>
    </row>
    <row r="125" spans="1:10" x14ac:dyDescent="0.35">
      <c r="A125" s="42" t="s">
        <v>237</v>
      </c>
      <c r="B125" s="43" t="s">
        <v>236</v>
      </c>
      <c r="C125" s="40"/>
      <c r="D125" s="40"/>
      <c r="E125" s="14"/>
      <c r="F125" s="14"/>
      <c r="G125" s="14"/>
      <c r="H125" s="27" t="s">
        <v>238</v>
      </c>
      <c r="I125" s="14"/>
      <c r="J125" s="26">
        <f>(J20+J22+J23+J24+J25+J26+J27+J28+J29+J30+J31+J32+J34+J35+J36+J37+J38+J39+J40+J41+J43+J44+J45+J46+J47+J48+J50+J51+J52+J53+J54+J56+J57+J58+J59+J61+J62+J63+J64+J65+J66+J67+J68+J69+J70+J71+J72+J73+J74+J75+J76+J77+J78+J79+J80+J81+J82+J83+J84+J85+J86+J87+J88+J89+J90+J91+J92+J94+J96+J98+J100+J102+J103+J104+J105+J106+J107+J108+J109+J110+J111+J112+J113+J114+J115+J116+J117+J118+J119+J121+J122)</f>
        <v>113334.40000000001</v>
      </c>
    </row>
    <row r="126" spans="1:10" ht="15" thickBot="1" x14ac:dyDescent="0.4">
      <c r="A126" s="42" t="s">
        <v>239</v>
      </c>
      <c r="B126" s="43" t="s">
        <v>236</v>
      </c>
      <c r="C126" s="40"/>
      <c r="D126" s="40"/>
      <c r="E126" s="14"/>
      <c r="F126" s="14"/>
      <c r="G126" s="14"/>
      <c r="H126" s="31" t="s">
        <v>240</v>
      </c>
      <c r="I126" s="29"/>
      <c r="J126" s="32">
        <f>(J21+J33+J42+J49+J55+J60+J93+J95+J97+J99+J101+J120)</f>
        <v>12304.960000000001</v>
      </c>
    </row>
    <row r="127" spans="1:10" x14ac:dyDescent="0.35">
      <c r="A127" s="27"/>
      <c r="B127" s="18"/>
      <c r="C127" s="14"/>
      <c r="D127" s="14"/>
      <c r="E127" s="14"/>
      <c r="F127" s="14"/>
      <c r="G127" s="14"/>
      <c r="H127" s="27" t="s">
        <v>241</v>
      </c>
      <c r="I127" s="14"/>
      <c r="J127" s="26">
        <v>8566</v>
      </c>
    </row>
    <row r="128" spans="1:10" ht="15" thickBot="1" x14ac:dyDescent="0.4">
      <c r="A128" s="27"/>
      <c r="B128" s="18"/>
      <c r="C128" s="14"/>
      <c r="D128" s="14"/>
      <c r="E128" s="14"/>
      <c r="F128" s="14"/>
      <c r="G128" s="14"/>
      <c r="H128" s="27" t="s">
        <v>242</v>
      </c>
      <c r="I128" s="14"/>
      <c r="J128" s="26">
        <v>21472.857599999999</v>
      </c>
    </row>
    <row r="129" spans="1:10" ht="15" thickBot="1" x14ac:dyDescent="0.4">
      <c r="A129" s="13"/>
      <c r="B129" s="14"/>
      <c r="C129" s="14"/>
      <c r="D129" s="14"/>
      <c r="E129" s="14"/>
      <c r="F129" s="14"/>
      <c r="G129" s="14"/>
      <c r="H129" s="33" t="s">
        <v>243</v>
      </c>
      <c r="I129" s="34"/>
      <c r="J129" s="35">
        <f>SUM(J125:J128)</f>
        <v>155678.2176</v>
      </c>
    </row>
    <row r="130" spans="1:10" x14ac:dyDescent="0.35">
      <c r="A130" s="13"/>
      <c r="B130" s="14"/>
      <c r="C130" s="14"/>
      <c r="D130" s="14"/>
      <c r="E130" s="14"/>
      <c r="F130" s="14"/>
      <c r="G130" s="14"/>
      <c r="H130" s="14"/>
      <c r="I130" s="14"/>
      <c r="J130" s="15"/>
    </row>
    <row r="131" spans="1:10" ht="15" thickBot="1" x14ac:dyDescent="0.4">
      <c r="A131" s="28"/>
      <c r="B131" s="29"/>
      <c r="C131" s="29"/>
      <c r="D131" s="29"/>
      <c r="E131" s="29"/>
      <c r="F131" s="29"/>
      <c r="G131" s="29"/>
      <c r="H131" s="29"/>
      <c r="I131" s="29"/>
      <c r="J131" s="30"/>
    </row>
  </sheetData>
  <mergeCells count="5">
    <mergeCell ref="H3:J3"/>
    <mergeCell ref="H18:J18"/>
    <mergeCell ref="A125:D125"/>
    <mergeCell ref="A126:D126"/>
    <mergeCell ref="E3:G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Dorcas</dc:creator>
  <cp:lastModifiedBy>Sheila Maweu</cp:lastModifiedBy>
  <dcterms:created xsi:type="dcterms:W3CDTF">2016-09-06T09:39:18Z</dcterms:created>
  <dcterms:modified xsi:type="dcterms:W3CDTF">2016-12-07T10:20:28Z</dcterms:modified>
</cp:coreProperties>
</file>